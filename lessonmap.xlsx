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Georgia"/>
      <charset val="1"/>
      <family val="0"/>
      <b val="1"/>
      <color rgb="FF1D2B5E"/>
      <sz val="16"/>
    </font>
    <font>
      <name val="Calibri"/>
      <charset val="1"/>
      <family val="0"/>
      <b val="1"/>
      <color rgb="FF1D2B5E"/>
      <sz val="10"/>
    </font>
    <font>
      <name val="Cambria"/>
      <charset val="1"/>
      <family val="0"/>
      <b val="1"/>
      <sz val="10"/>
    </font>
    <font>
      <name val="Calibri"/>
      <charset val="1"/>
      <family val="0"/>
      <b val="1"/>
      <color rgb="FFFFFFFF"/>
      <sz val="11"/>
    </font>
    <font>
      <name val="Calibri"/>
      <charset val="1"/>
      <family val="0"/>
      <sz val="10"/>
    </font>
    <font>
      <name val="Cambria"/>
      <charset val="1"/>
      <family val="0"/>
      <i val="1"/>
      <color rgb="FF888888"/>
      <sz val="11"/>
    </font>
    <font>
      <name val="Cambria"/>
      <charset val="1"/>
      <family val="0"/>
      <b val="1"/>
      <sz val="11"/>
    </font>
    <font>
      <name val="Cambria"/>
      <charset val="1"/>
      <family val="0"/>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D2B5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3F5F8"/>
        </patternFill>
      </fill>
    </dxf>
    <dxf>
      <fill>
        <patternFill>
          <bgColor rgb="FFFFE9A8"/>
        </patternFill>
      </fill>
    </dxf>
    <dxf>
      <fill>
        <patternFill>
          <bgColor rgb="FFC9E4FF"/>
        </patternFill>
      </fill>
    </dxf>
    <dxf>
      <fill>
        <patternFill>
          <bgColor rgb="FFC6E5C0"/>
        </patternFill>
      </fill>
    </dxf>
    <dxf>
      <font>
        <b val="1"/>
        <color rgb="FFFFFFFF"/>
      </font>
      <fill>
        <patternFill>
          <bgColor rgb="FF1D2B5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5" min="1" max="1"/>
    <col width="90" customWidth="1" style="15" min="2" max="2"/>
  </cols>
  <sheetData>
    <row r="1" ht="19.5" customHeight="1" s="16">
      <c r="A1" s="17" t="inlineStr">
        <is>
          <t>Lesson Map — AC9 Mathematics 7-10</t>
        </is>
      </c>
    </row>
    <row r="3" ht="15" customHeight="1" s="16">
      <c r="A3" s="18" t="inlineStr">
        <is>
          <t>Purpose</t>
        </is>
      </c>
    </row>
    <row r="4" ht="229.5" customHeight="1" s="16">
      <c r="A4" s="19"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6">
      <c r="A6" s="18" t="inlineStr">
        <is>
          <t>Sheet structure</t>
        </is>
      </c>
    </row>
    <row r="7" ht="15" customHeight="1" s="16">
      <c r="A7" s="20" t="inlineStr">
        <is>
          <t>Lessons</t>
        </is>
      </c>
      <c r="B7" s="21" t="inlineStr">
        <is>
          <t>Primary working sheet. One row per planned lesson. Add/edit here as the library is planned.</t>
        </is>
      </c>
    </row>
    <row r="8" ht="15" customHeight="1" s="16">
      <c r="A8" s="20" t="inlineStr">
        <is>
          <t>Descriptors</t>
        </is>
      </c>
      <c r="B8" s="21" t="inlineStr">
        <is>
          <t>Reference. The 101 AC9 v9 Mathematics content descriptors for Years 7-10. Read-only.</t>
        </is>
      </c>
    </row>
    <row r="9" ht="27.75" customHeight="1" s="16">
      <c r="A9" s="20" t="inlineStr">
        <is>
          <t>SA Mapping</t>
        </is>
      </c>
      <c r="B9" s="21" t="inlineStr">
        <is>
          <t>Reference. SA Conceptual Understandings → AC9 descriptor codes. To be populated from the SA Curriculum Prototype PDF.</t>
        </is>
      </c>
    </row>
    <row r="10" ht="15" customHeight="1" s="16">
      <c r="A10" s="20" t="inlineStr">
        <is>
          <t>Coverage Report</t>
        </is>
      </c>
      <c r="B10" s="21" t="inlineStr">
        <is>
          <t>Auto-generated summary: descriptors covered, lessons built, lessons published, gaps.</t>
        </is>
      </c>
    </row>
    <row r="12" ht="15" customHeight="1" s="16">
      <c r="A12" s="18" t="inlineStr">
        <is>
          <t>Column conventions (Lessons sheet)</t>
        </is>
      </c>
    </row>
    <row r="13" ht="15" customHeight="1" s="16">
      <c r="A13" s="20" t="inlineStr">
        <is>
          <t>Lesson ID</t>
        </is>
      </c>
      <c r="B13" s="21" t="inlineStr">
        <is>
          <t>Stable identifier, e.g. y7_num_01. Used to derive filename.</t>
        </is>
      </c>
    </row>
    <row r="14" ht="15" customHeight="1" s="16">
      <c r="A14" s="20" t="inlineStr">
        <is>
          <t>Year</t>
        </is>
      </c>
      <c r="B14" s="21" t="inlineStr">
        <is>
          <t>SA Year level where this lesson is taught (7-10).</t>
        </is>
      </c>
    </row>
    <row r="15" ht="15" customHeight="1" s="16">
      <c r="A15" s="20" t="inlineStr">
        <is>
          <t>Strand</t>
        </is>
      </c>
      <c r="B15" s="21" t="inlineStr">
        <is>
          <t>Number / Algebra / Measurement / Space / Statistics / Probability.</t>
        </is>
      </c>
    </row>
    <row r="16" ht="15" customHeight="1" s="16">
      <c r="A16" s="20" t="inlineStr">
        <is>
          <t>Lesson #</t>
        </is>
      </c>
      <c r="B16" s="21" t="inlineStr">
        <is>
          <t>Sequence within Year+Strand. Two-digit (01-99).</t>
        </is>
      </c>
    </row>
    <row r="17" ht="15" customHeight="1" s="16">
      <c r="A17" s="20" t="inlineStr">
        <is>
          <t>Topic (snake_case)</t>
        </is>
      </c>
      <c r="B17" s="21" t="inlineStr">
        <is>
          <t>Used in filename. E.g. perfect_squares_and_roots.</t>
        </is>
      </c>
    </row>
    <row r="18" ht="15" customHeight="1" s="16">
      <c r="A18" s="20" t="inlineStr">
        <is>
          <t>Filename</t>
        </is>
      </c>
      <c r="B18" s="21" t="inlineStr">
        <is>
          <t>Auto-built: y{Year}_{strand_abbr}_{##}_{topic}_v2.html.</t>
        </is>
      </c>
    </row>
    <row r="19" ht="15" customHeight="1" s="16">
      <c r="A19" s="20" t="inlineStr">
        <is>
          <t>AC9 Descriptor(s)</t>
        </is>
      </c>
      <c r="B19" s="21" t="inlineStr">
        <is>
          <t>Comma-separated AC9 codes. Most lessons are one code; some span multiple.</t>
        </is>
      </c>
    </row>
    <row r="20" ht="15" customHeight="1" s="16">
      <c r="A20" s="20" t="inlineStr">
        <is>
          <t>Elaboration #s</t>
        </is>
      </c>
      <c r="B20" s="21" t="inlineStr">
        <is>
          <t>Which elaborations of that descriptor are covered. e.g. '1,3' or 'all'.</t>
        </is>
      </c>
    </row>
    <row r="21" ht="15" customHeight="1" s="16">
      <c r="A21" s="20" t="inlineStr">
        <is>
          <t>Mapping note</t>
        </is>
      </c>
      <c r="B21" s="21" t="inlineStr">
        <is>
          <t>'Strict' or 'Implied' or explanatory note for non-obvious mappings.</t>
        </is>
      </c>
    </row>
    <row r="22" ht="15" customHeight="1" s="16">
      <c r="A22" s="20" t="inlineStr">
        <is>
          <t>SA Conceptual Understanding</t>
        </is>
      </c>
      <c r="B22" s="21" t="inlineStr">
        <is>
          <t>AUTHORITATIVE per SA_CIMT_Curriculum_Mapping_v5 / sa-curriculum-cu-mapping.json. The CU statement this lesson sits under at the SA Year level. Pre-populated; do not invent.</t>
        </is>
      </c>
    </row>
    <row r="23" ht="15" customHeight="1" s="16">
      <c r="A23" s="20" t="inlineStr">
        <is>
          <t>Lesson focus</t>
        </is>
      </c>
      <c r="B23" s="21" t="inlineStr">
        <is>
          <t>One-line statement of what this lesson teaches.</t>
        </is>
      </c>
    </row>
    <row r="24" ht="15" customHeight="1" s="16">
      <c r="A24" s="20" t="inlineStr">
        <is>
          <t>Practice style</t>
        </is>
      </c>
      <c r="B24" s="21" t="inlineStr">
        <is>
          <t>auto-marked / strategy-MCQ / matching / mixed. Hints at skill template needed.</t>
        </is>
      </c>
    </row>
    <row r="25" ht="15" customHeight="1" s="16">
      <c r="A25" s="20" t="inlineStr">
        <is>
          <t>Prerequisites</t>
        </is>
      </c>
      <c r="B25" s="21" t="inlineStr">
        <is>
          <t>Lesson IDs of prerequisite lessons within this map.</t>
        </is>
      </c>
    </row>
    <row r="26" ht="15" customHeight="1" s="16">
      <c r="A26" s="20" t="inlineStr">
        <is>
          <t>Status</t>
        </is>
      </c>
      <c r="B26" s="21" t="inlineStr">
        <is>
          <t>Planned / Drafted / Generated / Reviewed / Published.</t>
        </is>
      </c>
    </row>
    <row r="27" ht="15" customHeight="1" s="16">
      <c r="A27" s="20" t="inlineStr">
        <is>
          <t>Generated date</t>
        </is>
      </c>
      <c r="B27" s="21" t="inlineStr">
        <is>
          <t>Date the HTML file was generated. ISO format.</t>
        </is>
      </c>
    </row>
    <row r="28" ht="15" customHeight="1" s="16">
      <c r="A28" s="20" t="inlineStr">
        <is>
          <t>Published URL</t>
        </is>
      </c>
      <c r="B28" s="21" t="inlineStr">
        <is>
          <t>GitHub Pages URL once live.</t>
        </is>
      </c>
    </row>
    <row r="29" ht="15" customHeight="1" s="16">
      <c r="A29" s="20" t="inlineStr">
        <is>
          <t>Notes</t>
        </is>
      </c>
      <c r="B29" s="21" t="inlineStr">
        <is>
          <t>Free-text: cohort considerations, watershed flags, re-generation history.</t>
        </is>
      </c>
    </row>
    <row r="30" ht="15" customHeight="1" s="16">
      <c r="A30" s="18" t="n"/>
    </row>
    <row r="31" ht="81.75" customHeight="1" s="16">
      <c r="A31" s="22" t="inlineStr">
        <is>
          <t>Workflow</t>
        </is>
      </c>
    </row>
    <row r="32" ht="27.75" customHeight="1" s="16">
      <c r="A32" s="21" t="inlineStr">
        <is>
          <t>1. Plan: in Claude.ai project chat, work through one Year+Strand at a time. Decide lesson splits. Output rows to add here.</t>
        </is>
      </c>
    </row>
    <row r="33" ht="68.25" customHeight="1" s="16">
      <c r="A33" s="21" t="inlineStr">
        <is>
          <t>2. Add rows to Lessons sheet (Status = Planned). Pre-populate SA Conceptual Understanding from sa-curriculum-cu-mapping.json.</t>
        </is>
      </c>
    </row>
    <row r="34" ht="68.25" customHeight="1" s="16">
      <c r="A34" s="21" t="inlineStr">
        <is>
          <t>3. Pick a batch: filter Lessons by Status=Planned for the next overnight run (~10 lessons).</t>
        </is>
      </c>
    </row>
    <row r="35" ht="54.75" customHeight="1" s="16">
      <c r="A35" s="21" t="inlineStr">
        <is>
          <t>4. Generate tasks.txt: ask Claude.ai to transform those rows into tasks.txt entries using the standard task pattern. CU column copies straight through — no lookup needed.</t>
        </is>
      </c>
    </row>
    <row r="36" ht="68.25" customHeight="1" s="16">
      <c r="A36" s="21" t="inlineStr">
        <is>
          <t>5. Run overnight batch on Dell. Update Status to Generated + Generated date.</t>
        </is>
      </c>
    </row>
    <row r="37" ht="41.25" customHeight="1" s="16">
      <c r="A37" s="21" t="inlineStr">
        <is>
          <t>6. Review lessons. Update Status to Reviewed (or back to Planned with a Note if regenerating).</t>
        </is>
      </c>
    </row>
    <row r="38" ht="41.25" customHeight="1" s="16">
      <c r="A38" s="21" t="inlineStr">
        <is>
          <t>7. Publish. Update Status to Published + Published URL.</t>
        </is>
      </c>
    </row>
    <row r="39" ht="41.25" customHeight="1" s="16">
      <c r="A39" s="21" t="inlineStr">
        <is>
          <t>8. Coverage Report sheet auto-summarises progress.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5" min="1" max="1"/>
    <col width="6" customWidth="1" style="15" min="2" max="2"/>
    <col width="12" customWidth="1" style="15" min="3" max="3"/>
    <col width="9" customWidth="1" style="15" min="4" max="4"/>
    <col width="34" customWidth="1" style="15" min="5" max="5"/>
    <col width="42" customWidth="1" style="15" min="6" max="6"/>
    <col width="18" customWidth="1" style="15" min="7" max="7"/>
    <col width="14" customWidth="1" style="15" min="8" max="9"/>
    <col width="50" customWidth="1" style="15" min="10" max="10"/>
    <col width="22" customWidth="1" style="15" min="11" max="12"/>
    <col width="12" customWidth="1" style="15" min="13" max="13"/>
    <col width="13" customWidth="1" style="15" min="14" max="14"/>
    <col width="34" customWidth="1" style="15" min="15" max="15"/>
    <col width="40" customWidth="1" style="15" min="16" max="16"/>
  </cols>
  <sheetData>
    <row r="1" ht="27.75" customHeight="1" s="16">
      <c r="A1" s="23" t="inlineStr">
        <is>
          <t>Lesson ID</t>
        </is>
      </c>
      <c r="B1" s="23" t="inlineStr">
        <is>
          <t>Year</t>
        </is>
      </c>
      <c r="C1" s="23" t="inlineStr">
        <is>
          <t>Strand</t>
        </is>
      </c>
      <c r="D1" s="23" t="inlineStr">
        <is>
          <t>Lesson #</t>
        </is>
      </c>
      <c r="E1" s="23" t="inlineStr">
        <is>
          <t>Topic (snake_case)</t>
        </is>
      </c>
      <c r="F1" s="23" t="inlineStr">
        <is>
          <t>Filename</t>
        </is>
      </c>
      <c r="G1" s="23" t="inlineStr">
        <is>
          <t>AC9 Descriptor(s)</t>
        </is>
      </c>
      <c r="H1" s="23" t="inlineStr">
        <is>
          <t>Elaboration #s</t>
        </is>
      </c>
      <c r="I1" s="23" t="inlineStr">
        <is>
          <t>Mapping note</t>
        </is>
      </c>
      <c r="J1" s="23" t="inlineStr">
        <is>
          <t>SA Conceptual Understanding</t>
        </is>
      </c>
      <c r="K1" s="23" t="inlineStr">
        <is>
          <t>Lesson focus</t>
        </is>
      </c>
      <c r="L1" s="23" t="inlineStr">
        <is>
          <t>Practice style</t>
        </is>
      </c>
      <c r="M1" s="23" t="inlineStr">
        <is>
          <t>Prerequisites</t>
        </is>
      </c>
      <c r="N1" s="23" t="inlineStr">
        <is>
          <t>Status</t>
        </is>
      </c>
      <c r="O1" s="23" t="inlineStr">
        <is>
          <t>Generated date</t>
        </is>
      </c>
      <c r="P1" s="23" t="inlineStr">
        <is>
          <t>Published URL</t>
        </is>
      </c>
      <c r="Q1" s="23" t="inlineStr">
        <is>
          <t>Notes</t>
        </is>
      </c>
    </row>
    <row r="2" ht="23.25" customHeight="1" s="16">
      <c r="A2" s="15" t="inlineStr">
        <is>
          <t>y7_num_01</t>
        </is>
      </c>
      <c r="B2" s="15" t="n">
        <v>7</v>
      </c>
      <c r="C2" s="15" t="inlineStr">
        <is>
          <t>Number</t>
        </is>
      </c>
      <c r="D2" s="15" t="inlineStr">
        <is>
          <t>01</t>
        </is>
      </c>
      <c r="E2" s="15" t="inlineStr">
        <is>
          <t>perfect_squares_and_roots</t>
        </is>
      </c>
      <c r="F2" s="15">
        <f>"y"&amp;B2&amp;"_"&amp;IF(C2="Number","num",IF(C2="Algebra","alg",IF(C2="Measurement","meas",IF(C2="Space","space",IF(C2="Statistics","stats",IF(C2="Probability","prob","UNK"))))))&amp;"_"&amp;D2&amp;"_"&amp;E2&amp;"_v2.html"</f>
        <v/>
      </c>
      <c r="G2" s="15" t="inlineStr">
        <is>
          <t>AC9M7N01</t>
        </is>
      </c>
      <c r="H2" s="15" t="inlineStr">
        <is>
          <t>1,3,4</t>
        </is>
      </c>
      <c r="I2" s="15" t="inlineStr">
        <is>
          <t>Strict</t>
        </is>
      </c>
      <c r="J2" s="15" t="inlineStr">
        <is>
          <t>Rational numbers can be represented in many equivalent ways</t>
        </is>
      </c>
      <c r="K2" s="15" t="inlineStr">
        <is>
          <t>Build perfect squares from dot/area visuals; relate squares and roots as inverse; estimate √n between consecutive integers; spot patterns.</t>
        </is>
      </c>
      <c r="L2" s="15" t="inlineStr">
        <is>
          <t>auto-marked</t>
        </is>
      </c>
      <c r="N2" s="15" t="inlineStr">
        <is>
          <t>Published</t>
        </is>
      </c>
      <c r="P2" s="15" t="inlineStr">
        <is>
          <t>https://seager94.github.io/year-7/number/y7_num_01_perfect_squares_and_roots_v2.html</t>
        </is>
      </c>
      <c r="Q2" s="15" t="inlineStr">
        <is>
          <t>Status reconciled from repo 2026-05-30 (generated date unconfirmed)</t>
        </is>
      </c>
    </row>
    <row r="3" ht="23.25" customHeight="1" s="16">
      <c r="A3" s="15" t="inlineStr">
        <is>
          <t>y7_num_02</t>
        </is>
      </c>
      <c r="B3" s="15" t="n">
        <v>7</v>
      </c>
      <c r="C3" s="15" t="inlineStr">
        <is>
          <t>Number</t>
        </is>
      </c>
      <c r="D3" s="15" t="inlineStr">
        <is>
          <t>02</t>
        </is>
      </c>
      <c r="E3" s="15" t="inlineStr">
        <is>
          <t>squaring_and_problem_solving</t>
        </is>
      </c>
      <c r="F3" s="15">
        <f>"y"&amp;B3&amp;"_"&amp;IF(C3="Number","num",IF(C3="Algebra","alg",IF(C3="Measurement","meas",IF(C3="Space","space",IF(C3="Statistics","stats",IF(C3="Probability","prob","UNK"))))))&amp;"_"&amp;D3&amp;"_"&amp;E3&amp;"_v2.html"</f>
        <v/>
      </c>
      <c r="G3" s="15" t="inlineStr">
        <is>
          <t>AC9M7N01</t>
        </is>
      </c>
      <c r="H3" s="15" t="inlineStr">
        <is>
          <t>2,5</t>
        </is>
      </c>
      <c r="I3" s="15" t="inlineStr">
        <is>
          <t>Strict</t>
        </is>
      </c>
      <c r="J3" s="15" t="inlineStr">
        <is>
          <t>Rational numbers can be represented in many equivalent ways</t>
        </is>
      </c>
      <c r="K3" s="15" t="inlineStr">
        <is>
          <t>Square two-digit numbers via (40+3)²; apply to tiled-floor area/perimeter problems.</t>
        </is>
      </c>
      <c r="L3" s="15" t="inlineStr">
        <is>
          <t>auto-marked</t>
        </is>
      </c>
      <c r="M3" s="15" t="inlineStr">
        <is>
          <t>y7_num_01</t>
        </is>
      </c>
      <c r="N3" s="15" t="inlineStr">
        <is>
          <t>Published</t>
        </is>
      </c>
      <c r="P3" s="15" t="inlineStr">
        <is>
          <t>https://seager94.github.io/year-7/number/y7_num_02_squaring_and_problem_solving_v2.html</t>
        </is>
      </c>
      <c r="Q3" s="15" t="inlineStr">
        <is>
          <t>Status reconciled from repo 2026-05-30 (generated date unconfirmed)</t>
        </is>
      </c>
    </row>
    <row r="4" ht="23.25" customHeight="1" s="16">
      <c r="A4" s="15" t="inlineStr">
        <is>
          <t>y7_num_03</t>
        </is>
      </c>
      <c r="B4" s="15" t="n">
        <v>7</v>
      </c>
      <c r="C4" s="15" t="inlineStr">
        <is>
          <t>Number</t>
        </is>
      </c>
      <c r="D4" s="15" t="inlineStr">
        <is>
          <t>03</t>
        </is>
      </c>
      <c r="E4" s="15" t="inlineStr">
        <is>
          <t>prime_factorisation</t>
        </is>
      </c>
      <c r="F4" s="15">
        <f>"y"&amp;B4&amp;"_"&amp;IF(C4="Number","num",IF(C4="Algebra","alg",IF(C4="Measurement","meas",IF(C4="Space","space",IF(C4="Statistics","stats",IF(C4="Probability","prob","UNK"))))))&amp;"_"&amp;D4&amp;"_"&amp;E4&amp;"_v2.html"</f>
        <v/>
      </c>
      <c r="G4" s="15" t="inlineStr">
        <is>
          <t>AC9M7N02</t>
        </is>
      </c>
      <c r="H4" s="15" t="inlineStr">
        <is>
          <t>1,2</t>
        </is>
      </c>
      <c r="I4" s="15" t="inlineStr">
        <is>
          <t>Strict</t>
        </is>
      </c>
      <c r="J4" s="15" t="inlineStr">
        <is>
          <t>Numbers with repeated factors can be expressed using exponential notation</t>
        </is>
      </c>
      <c r="K4" s="15" t="inlineStr">
        <is>
          <t>Factor trees and repeated prime division; express n as products of prime powers; build fluency with powers of 2, 3, 5.</t>
        </is>
      </c>
      <c r="L4" s="15" t="inlineStr">
        <is>
          <t>auto-marked</t>
        </is>
      </c>
      <c r="N4" s="15" t="inlineStr">
        <is>
          <t>Published</t>
        </is>
      </c>
      <c r="P4" s="15" t="inlineStr">
        <is>
          <t>https://seager94.github.io/year-7/number/y7_num_03_prime_factorisation_v2.html</t>
        </is>
      </c>
      <c r="Q4" s="15" t="inlineStr">
        <is>
          <t>Status reconciled from repo 2026-05-30 (generated date unconfirmed)</t>
        </is>
      </c>
    </row>
    <row r="5" ht="23.25" customHeight="1" s="16">
      <c r="A5" s="15" t="inlineStr">
        <is>
          <t>y7_num_04</t>
        </is>
      </c>
      <c r="B5" s="15" t="n">
        <v>7</v>
      </c>
      <c r="C5" s="15" t="inlineStr">
        <is>
          <t>Number</t>
        </is>
      </c>
      <c r="D5" s="15" t="inlineStr">
        <is>
          <t>04</t>
        </is>
      </c>
      <c r="E5" s="15" t="inlineStr">
        <is>
          <t>lcm_hcf_via_prime_factors</t>
        </is>
      </c>
      <c r="F5" s="15">
        <f>"y"&amp;B5&amp;"_"&amp;IF(C5="Number","num",IF(C5="Algebra","alg",IF(C5="Measurement","meas",IF(C5="Space","space",IF(C5="Statistics","stats",IF(C5="Probability","prob","UNK"))))))&amp;"_"&amp;D5&amp;"_"&amp;E5&amp;"_v2.html"</f>
        <v/>
      </c>
      <c r="G5" s="15" t="inlineStr">
        <is>
          <t>AC9M7N02</t>
        </is>
      </c>
      <c r="H5" s="15" t="inlineStr">
        <is>
          <t>3</t>
        </is>
      </c>
      <c r="I5" s="15" t="inlineStr">
        <is>
          <t>Strict</t>
        </is>
      </c>
      <c r="J5" s="15" t="inlineStr">
        <is>
          <t>Numbers with repeated factors can be expressed using exponential notation</t>
        </is>
      </c>
      <c r="K5" s="15" t="inlineStr">
        <is>
          <t>Find LCM and HCF by comparing prime factorisations. Timetable/packaging contexts.</t>
        </is>
      </c>
      <c r="L5" s="15" t="inlineStr">
        <is>
          <t>auto-marked</t>
        </is>
      </c>
      <c r="M5" s="15" t="inlineStr">
        <is>
          <t>y7_num_03</t>
        </is>
      </c>
      <c r="N5" s="15" t="inlineStr">
        <is>
          <t>Published</t>
        </is>
      </c>
      <c r="P5" s="15" t="inlineStr">
        <is>
          <t>https://seager94.github.io/year-7/number/y7_num_04_lcm_hcf_via_prime_factors_v2.html</t>
        </is>
      </c>
      <c r="Q5" s="15" t="inlineStr">
        <is>
          <t>Status reconciled from repo 2026-05-30 (generated date unconfirmed)</t>
        </is>
      </c>
    </row>
    <row r="6" ht="23.25" customHeight="1" s="16">
      <c r="A6" s="15" t="inlineStr">
        <is>
          <t>y7_num_05</t>
        </is>
      </c>
      <c r="B6" s="15" t="n">
        <v>7</v>
      </c>
      <c r="C6" s="15" t="inlineStr">
        <is>
          <t>Number</t>
        </is>
      </c>
      <c r="D6" s="15" t="inlineStr">
        <is>
          <t>05</t>
        </is>
      </c>
      <c r="E6" s="15" t="inlineStr">
        <is>
          <t>expanded_notation_powers_of_10</t>
        </is>
      </c>
      <c r="F6" s="15">
        <f>"y"&amp;B6&amp;"_"&amp;IF(C6="Number","num",IF(C6="Algebra","alg",IF(C6="Measurement","meas",IF(C6="Space","space",IF(C6="Statistics","stats",IF(C6="Probability","prob","UNK"))))))&amp;"_"&amp;D6&amp;"_"&amp;E6&amp;"_v2.html"</f>
        <v/>
      </c>
      <c r="G6" s="15" t="inlineStr">
        <is>
          <t>AC9M7N03</t>
        </is>
      </c>
      <c r="H6" s="15" t="inlineStr">
        <is>
          <t>all</t>
        </is>
      </c>
      <c r="I6" s="15" t="inlineStr">
        <is>
          <t>Strict</t>
        </is>
      </c>
      <c r="J6" s="15" t="inlineStr">
        <is>
          <t>Rational numbers can be represented in many equivalent ways</t>
        </is>
      </c>
      <c r="K6" s="15" t="inlineStr">
        <is>
          <t>Powers of 10 notation; sequence 10, 100, 1000 ↔ 10¹, 10², 10³; expanded notation using place value.</t>
        </is>
      </c>
      <c r="L6" s="15" t="inlineStr">
        <is>
          <t>auto-marked</t>
        </is>
      </c>
      <c r="N6" s="15" t="inlineStr">
        <is>
          <t>Published</t>
        </is>
      </c>
      <c r="P6" s="15" t="inlineStr">
        <is>
          <t>https://seager94.github.io/year-7/number/y7_num_05_expanded_notation_powers_of_10_v2.html</t>
        </is>
      </c>
      <c r="Q6" s="15" t="inlineStr">
        <is>
          <t>Status reconciled from repo 2026-05-30 (generated date unconfirmed)</t>
        </is>
      </c>
    </row>
    <row r="7" ht="23.25" customHeight="1" s="16">
      <c r="A7" s="15" t="inlineStr">
        <is>
          <t>y7_num_06</t>
        </is>
      </c>
      <c r="B7" s="15" t="n">
        <v>7</v>
      </c>
      <c r="C7" s="15" t="inlineStr">
        <is>
          <t>Number</t>
        </is>
      </c>
      <c r="D7" s="15" t="inlineStr">
        <is>
          <t>06</t>
        </is>
      </c>
      <c r="E7" s="15" t="inlineStr">
        <is>
          <t>equivalent_fractions</t>
        </is>
      </c>
      <c r="F7" s="15">
        <f>"y"&amp;B7&amp;"_"&amp;IF(C7="Number","num",IF(C7="Algebra","alg",IF(C7="Measurement","meas",IF(C7="Space","space",IF(C7="Statistics","stats",IF(C7="Probability","prob","UNK"))))))&amp;"_"&amp;D7&amp;"_"&amp;E7&amp;"_v2.html"</f>
        <v/>
      </c>
      <c r="G7" s="15" t="inlineStr">
        <is>
          <t>AC9M7N04</t>
        </is>
      </c>
      <c r="H7" s="15" t="inlineStr">
        <is>
          <t>1,2</t>
        </is>
      </c>
      <c r="I7" s="15" t="inlineStr">
        <is>
          <t>Strict</t>
        </is>
      </c>
      <c r="J7" s="15" t="inlineStr">
        <is>
          <t>Rational numbers can be represented in many equivalent ways</t>
        </is>
      </c>
      <c r="K7" s="15" t="inlineStr">
        <is>
          <t>Equivalent fractions via common multiples, fraction wall, number line; simplify using common divisors.</t>
        </is>
      </c>
      <c r="L7" s="15" t="inlineStr">
        <is>
          <t>auto-marked</t>
        </is>
      </c>
      <c r="N7" s="15" t="inlineStr">
        <is>
          <t>Published</t>
        </is>
      </c>
      <c r="P7" s="15" t="inlineStr">
        <is>
          <t>https://seager94.github.io/year-7/number/y7_num_06_equivalent_fractions_v2.html</t>
        </is>
      </c>
      <c r="Q7" s="15" t="inlineStr">
        <is>
          <t>Status reconciled from repo 2026-05-30 (generated date unconfirmed)</t>
        </is>
      </c>
    </row>
    <row r="8" ht="23.25" customHeight="1" s="16">
      <c r="A8" s="15" t="inlineStr">
        <is>
          <t>y7_num_07</t>
        </is>
      </c>
      <c r="B8" s="15" t="n">
        <v>7</v>
      </c>
      <c r="C8" s="15" t="inlineStr">
        <is>
          <t>Number</t>
        </is>
      </c>
      <c r="D8" s="15" t="inlineStr">
        <is>
          <t>07</t>
        </is>
      </c>
      <c r="E8" s="15" t="inlineStr">
        <is>
          <t>fractions_decimals_percentages</t>
        </is>
      </c>
      <c r="F8" s="15">
        <f>"y"&amp;B8&amp;"_"&amp;IF(C8="Number","num",IF(C8="Algebra","alg",IF(C8="Measurement","meas",IF(C8="Space","space",IF(C8="Statistics","stats",IF(C8="Probability","prob","UNK"))))))&amp;"_"&amp;D8&amp;"_"&amp;E8&amp;"_v2.html"</f>
        <v/>
      </c>
      <c r="G8" s="15" t="inlineStr">
        <is>
          <t>AC9M7N04</t>
        </is>
      </c>
      <c r="H8" s="15" t="inlineStr">
        <is>
          <t>3</t>
        </is>
      </c>
      <c r="I8" s="15" t="inlineStr">
        <is>
          <t>Strict</t>
        </is>
      </c>
      <c r="J8" s="15" t="inlineStr">
        <is>
          <t>Rational numbers can be represented in many equivalent ways</t>
        </is>
      </c>
      <c r="K8" s="15" t="inlineStr">
        <is>
          <t>Convert between fraction, decimal, percentage. Benchmark equivalences (¼, ½, ¾, ⅛, tenths).</t>
        </is>
      </c>
      <c r="L8" s="15" t="inlineStr">
        <is>
          <t>auto-marked</t>
        </is>
      </c>
      <c r="M8" s="15" t="inlineStr">
        <is>
          <t>y7_num_06</t>
        </is>
      </c>
      <c r="N8" s="15" t="inlineStr">
        <is>
          <t>Published</t>
        </is>
      </c>
      <c r="P8" s="15" t="inlineStr">
        <is>
          <t>https://seager94.github.io/year-7/number/y7_num_07_fractions_decimals_percentages_v2.html</t>
        </is>
      </c>
      <c r="Q8" s="15" t="inlineStr">
        <is>
          <t>Status reconciled from repo 2026-05-30 (generated date unconfirmed)</t>
        </is>
      </c>
    </row>
    <row r="9" ht="23.25" customHeight="1" s="16">
      <c r="A9" s="15" t="inlineStr">
        <is>
          <t>y7_num_08</t>
        </is>
      </c>
      <c r="B9" s="15" t="n">
        <v>7</v>
      </c>
      <c r="C9" s="15" t="inlineStr">
        <is>
          <t>Number</t>
        </is>
      </c>
      <c r="D9" s="15" t="inlineStr">
        <is>
          <t>08</t>
        </is>
      </c>
      <c r="E9" s="15" t="inlineStr">
        <is>
          <t>rationals_on_number_line</t>
        </is>
      </c>
      <c r="F9" s="15">
        <f>"y"&amp;B9&amp;"_"&amp;IF(C9="Number","num",IF(C9="Algebra","alg",IF(C9="Measurement","meas",IF(C9="Space","space",IF(C9="Statistics","stats",IF(C9="Probability","prob","UNK"))))))&amp;"_"&amp;D9&amp;"_"&amp;E9&amp;"_v2.html"</f>
        <v/>
      </c>
      <c r="G9" s="15" t="inlineStr">
        <is>
          <t>AC9M7N04</t>
        </is>
      </c>
      <c r="H9" s="15" t="inlineStr">
        <is>
          <t>4</t>
        </is>
      </c>
      <c r="I9" s="15" t="inlineStr">
        <is>
          <t>Strict</t>
        </is>
      </c>
      <c r="J9" s="15" t="inlineStr">
        <is>
          <t>Rational numbers can be represented in many equivalent ways</t>
        </is>
      </c>
      <c r="K9" s="15" t="inlineStr">
        <is>
          <t>Locate positive and negative fractions/mixed numerals on number line, including asymmetric intervals.</t>
        </is>
      </c>
      <c r="L9" s="15" t="inlineStr">
        <is>
          <t>auto-marked</t>
        </is>
      </c>
      <c r="M9" s="15" t="inlineStr">
        <is>
          <t>y7_num_06</t>
        </is>
      </c>
      <c r="N9" s="15" t="inlineStr">
        <is>
          <t>Published</t>
        </is>
      </c>
      <c r="P9" s="15" t="inlineStr">
        <is>
          <t>https://seager94.github.io/year-7/number/y7_num_08_rationals_on_number_line_v2.html</t>
        </is>
      </c>
      <c r="Q9" s="15" t="inlineStr">
        <is>
          <t>Status reconciled from repo 2026-05-30 (generated date unconfirmed)</t>
        </is>
      </c>
    </row>
    <row r="10" ht="23.25" customHeight="1" s="16">
      <c r="A10" s="15" t="inlineStr">
        <is>
          <t>y7_num_09</t>
        </is>
      </c>
      <c r="B10" s="15" t="n">
        <v>7</v>
      </c>
      <c r="C10" s="15" t="inlineStr">
        <is>
          <t>Number</t>
        </is>
      </c>
      <c r="D10" s="15" t="inlineStr">
        <is>
          <t>09</t>
        </is>
      </c>
      <c r="E10" s="15" t="inlineStr">
        <is>
          <t>rounding_and_reasonableness</t>
        </is>
      </c>
      <c r="F10" s="15">
        <f>"y"&amp;B10&amp;"_"&amp;IF(C10="Number","num",IF(C10="Algebra","alg",IF(C10="Measurement","meas",IF(C10="Space","space",IF(C10="Statistics","stats",IF(C10="Probability","prob","UNK"))))))&amp;"_"&amp;D10&amp;"_"&amp;E10&amp;"_v2.html"</f>
        <v/>
      </c>
      <c r="G10" s="15" t="inlineStr">
        <is>
          <t>AC9M7N05</t>
        </is>
      </c>
      <c r="H10" s="15" t="inlineStr">
        <is>
          <t>all</t>
        </is>
      </c>
      <c r="I10" s="15" t="inlineStr">
        <is>
          <t>Strict</t>
        </is>
      </c>
      <c r="J10" s="15" t="inlineStr">
        <is>
          <t>Rational numbers can be approximated to support judgements of magnitude and reasonableness</t>
        </is>
      </c>
      <c r="K10" s="15" t="inlineStr">
        <is>
          <t>Round decimals to specified accuracy; check reasonableness via estimation. Finance/renovation contexts.</t>
        </is>
      </c>
      <c r="L10" s="15" t="inlineStr">
        <is>
          <t>auto-marked</t>
        </is>
      </c>
      <c r="N10" s="15" t="inlineStr">
        <is>
          <t>Published</t>
        </is>
      </c>
      <c r="P10" s="15" t="inlineStr">
        <is>
          <t>https://seager94.github.io/year-7/number/y7_num_09_rounding_and_reasonableness_v2.html</t>
        </is>
      </c>
      <c r="Q10" s="15" t="inlineStr">
        <is>
          <t>Status reconciled from repo 2026-05-30 (generated date unconfirmed)</t>
        </is>
      </c>
    </row>
    <row r="11" ht="23.25" customHeight="1" s="16">
      <c r="A11" s="15" t="inlineStr">
        <is>
          <t>y7_num_10</t>
        </is>
      </c>
      <c r="B11" s="15" t="n">
        <v>7</v>
      </c>
      <c r="C11" s="15" t="inlineStr">
        <is>
          <t>Number</t>
        </is>
      </c>
      <c r="D11" s="15" t="inlineStr">
        <is>
          <t>10</t>
        </is>
      </c>
      <c r="E11" s="15" t="inlineStr">
        <is>
          <t>adding_subtracting_fractions</t>
        </is>
      </c>
      <c r="F11" s="15">
        <f>"y"&amp;B11&amp;"_"&amp;IF(C11="Number","num",IF(C11="Algebra","alg",IF(C11="Measurement","meas",IF(C11="Space","space",IF(C11="Statistics","stats",IF(C11="Probability","prob","UNK"))))))&amp;"_"&amp;D11&amp;"_"&amp;E11&amp;"_v2.html"</f>
        <v/>
      </c>
      <c r="G11" s="15" t="inlineStr">
        <is>
          <t>AC9M7N06</t>
        </is>
      </c>
      <c r="H11" s="15" t="inlineStr">
        <is>
          <t>1,5</t>
        </is>
      </c>
      <c r="I11" s="15" t="inlineStr">
        <is>
          <t>Strict</t>
        </is>
      </c>
      <c r="J11" s="15" t="inlineStr">
        <is>
          <t>The inverse relationships between addition and subtraction and multiplication and division can be used to add, subtract, multiply or divide rational numbers</t>
        </is>
      </c>
      <c r="K11" s="15" t="inlineStr">
        <is>
          <t>Add and subtract fractions and decimals using rectangular arrays, algebra tiles, partitioning.</t>
        </is>
      </c>
      <c r="L11" s="15" t="inlineStr">
        <is>
          <t>auto-marked</t>
        </is>
      </c>
      <c r="M11" s="15" t="inlineStr">
        <is>
          <t>y7_num_06</t>
        </is>
      </c>
      <c r="N11" s="15" t="inlineStr">
        <is>
          <t>Published</t>
        </is>
      </c>
      <c r="P11" s="15" t="inlineStr">
        <is>
          <t>https://seager94.github.io/year-7/number/y7_num_10_adding_subtracting_fractions_v2.html</t>
        </is>
      </c>
      <c r="Q11" s="15" t="inlineStr">
        <is>
          <t>Status reconciled from repo 2026-05-30 (generated date unconfirmed)</t>
        </is>
      </c>
    </row>
    <row r="12" ht="34.5" customHeight="1" s="16">
      <c r="A12" s="15" t="inlineStr">
        <is>
          <t>y7_num_11</t>
        </is>
      </c>
      <c r="B12" s="15" t="n">
        <v>7</v>
      </c>
      <c r="C12" s="15" t="inlineStr">
        <is>
          <t>Number</t>
        </is>
      </c>
      <c r="D12" s="15" t="inlineStr">
        <is>
          <t>11</t>
        </is>
      </c>
      <c r="E12" s="15" t="inlineStr">
        <is>
          <t>multiplying_dividing_fractions</t>
        </is>
      </c>
      <c r="F12" s="15">
        <f>"y"&amp;B12&amp;"_"&amp;IF(C12="Number","num",IF(C12="Algebra","alg",IF(C12="Measurement","meas",IF(C12="Space","space",IF(C12="Statistics","stats",IF(C12="Probability","prob","UNK"))))))&amp;"_"&amp;D12&amp;"_"&amp;E12&amp;"_v2.html"</f>
        <v/>
      </c>
      <c r="G12" s="15" t="inlineStr">
        <is>
          <t>AC9M7N06</t>
        </is>
      </c>
      <c r="H12" s="15" t="inlineStr">
        <is>
          <t>3,4</t>
        </is>
      </c>
      <c r="I12" s="15" t="inlineStr">
        <is>
          <t>Strict</t>
        </is>
      </c>
      <c r="J12" s="15" t="inlineStr">
        <is>
          <t>Multiplying a positive number by a number greater than 0 and less than 1 results in a smaller number</t>
        </is>
      </c>
      <c r="K12" s="15" t="inlineStr">
        <is>
          <t>Multiply and divide fractions and decimals. Conceptual models first (fraction walls, arrays), then procedure.</t>
        </is>
      </c>
      <c r="L12" s="15" t="inlineStr">
        <is>
          <t>auto-marked</t>
        </is>
      </c>
      <c r="M12" s="15" t="inlineStr">
        <is>
          <t>y7_num_06</t>
        </is>
      </c>
      <c r="N12" s="15" t="inlineStr">
        <is>
          <t>Published</t>
        </is>
      </c>
      <c r="P12" s="15" t="inlineStr">
        <is>
          <t>https://seager94.github.io/year-7/number/y7_num_11_multiplying_dividing_fractions_v2.html</t>
        </is>
      </c>
      <c r="Q12" s="15" t="inlineStr">
        <is>
          <t>Status reconciled from repo 2026-05-30 (generated date unconfirmed)</t>
        </is>
      </c>
    </row>
    <row r="13" ht="34.5" customHeight="1" s="16">
      <c r="A13" s="15" t="inlineStr">
        <is>
          <t>y7_num_12</t>
        </is>
      </c>
      <c r="B13" s="15" t="n">
        <v>7</v>
      </c>
      <c r="C13" s="15" t="inlineStr">
        <is>
          <t>Number</t>
        </is>
      </c>
      <c r="D13" s="15" t="inlineStr">
        <is>
          <t>12</t>
        </is>
      </c>
      <c r="E13" s="15" t="inlineStr">
        <is>
          <t>choosing_efficient_representations</t>
        </is>
      </c>
      <c r="F13" s="15">
        <f>"y"&amp;B13&amp;"_"&amp;IF(C13="Number","num",IF(C13="Algebra","alg",IF(C13="Measurement","meas",IF(C13="Space","space",IF(C13="Statistics","stats",IF(C13="Probability","prob","UNK"))))))&amp;"_"&amp;D13&amp;"_"&amp;E13&amp;"_v2.html"</f>
        <v/>
      </c>
      <c r="G13" s="15" t="inlineStr">
        <is>
          <t>AC9M7N06</t>
        </is>
      </c>
      <c r="H13" s="15" t="inlineStr">
        <is>
          <t>2,6</t>
        </is>
      </c>
      <c r="I13" s="15" t="inlineStr">
        <is>
          <t>Strict</t>
        </is>
      </c>
      <c r="J13" s="15" t="inlineStr">
        <is>
          <t>The inverse relationships between addition and subtraction and multiplication and division can be used to add, subtract, multiply or divide rational numbers</t>
        </is>
      </c>
      <c r="K13" s="15" t="inlineStr">
        <is>
          <t>Strategic choice between fraction, decimal, percentage forms for efficient calculation (e.g. 12.5% × 96 as ⅛ × 96).</t>
        </is>
      </c>
      <c r="L13" s="15" t="inlineStr">
        <is>
          <t>Option B: calc lesson with strategic I Do</t>
        </is>
      </c>
      <c r="M13" s="15" t="inlineStr">
        <is>
          <t>y7_num_07,y7_num_10,y7_num_11</t>
        </is>
      </c>
      <c r="N13" s="15" t="inlineStr">
        <is>
          <t>Published</t>
        </is>
      </c>
      <c r="P13" s="15" t="inlineStr">
        <is>
          <t>https://seager94.github.io/year-7/number/y7_num_12_choosing_efficient_representations_v2.html</t>
        </is>
      </c>
      <c r="Q13" s="15" t="inlineStr">
        <is>
          <t>Status reconciled from repo 2026-05-30 (generated date unconfirmed)</t>
        </is>
      </c>
    </row>
    <row r="14" ht="45.75" customHeight="1" s="16">
      <c r="A14" s="15" t="inlineStr">
        <is>
          <t>y7_num_13</t>
        </is>
      </c>
      <c r="B14" s="15" t="n">
        <v>7</v>
      </c>
      <c r="C14" s="15" t="inlineStr">
        <is>
          <t>Number</t>
        </is>
      </c>
      <c r="D14" s="15" t="inlineStr">
        <is>
          <t>13</t>
        </is>
      </c>
      <c r="E14" s="15" t="inlineStr">
        <is>
          <t>percentage_of_a_quantity</t>
        </is>
      </c>
      <c r="F14" s="15">
        <f>"y"&amp;B14&amp;"_"&amp;IF(C14="Number","num",IF(C14="Algebra","alg",IF(C14="Measurement","meas",IF(C14="Space","space",IF(C14="Statistics","stats",IF(C14="Probability","prob","UNK"))))))&amp;"_"&amp;D14&amp;"_"&amp;E14&amp;"_v2.html"</f>
        <v/>
      </c>
      <c r="G14" s="15" t="inlineStr">
        <is>
          <t>AC9M7N06</t>
        </is>
      </c>
      <c r="H14" s="15" t="inlineStr">
        <is>
          <t>—</t>
        </is>
      </c>
      <c r="I14" s="15" t="inlineStr">
        <is>
          <t>Implied</t>
        </is>
      </c>
      <c r="J14" s="15" t="inlineStr">
        <is>
          <t>The inverse relationships between addition and subtraction and multiplication and division can be used to add, subtract, multiply or divide rational numbers</t>
        </is>
      </c>
      <c r="K14" s="15" t="inlineStr">
        <is>
          <t>Find a percentage of a quantity (e.g. 15% of $80). Foundational for N09 modelling.</t>
        </is>
      </c>
      <c r="L14" s="15" t="inlineStr">
        <is>
          <t>auto-marked</t>
        </is>
      </c>
      <c r="M14" s="15" t="inlineStr">
        <is>
          <t>y7_num_07</t>
        </is>
      </c>
      <c r="N14" s="15" t="inlineStr">
        <is>
          <t>Published</t>
        </is>
      </c>
      <c r="P14" s="15" t="inlineStr">
        <is>
          <t>https://seager94.github.io/year-7/number/y7_num_13_percentage_of_a_quantity_v2.html</t>
        </is>
      </c>
      <c r="Q14" s="15" t="inlineStr">
        <is>
          <t>Status reconciled from repo 2026-05-30 (generated date unconfirmed)</t>
        </is>
      </c>
    </row>
    <row r="15" ht="23.25" customHeight="1" s="16">
      <c r="A15" s="15" t="inlineStr">
        <is>
          <t>y7_num_14</t>
        </is>
      </c>
      <c r="B15" s="15" t="n">
        <v>7</v>
      </c>
      <c r="C15" s="15" t="inlineStr">
        <is>
          <t>Number</t>
        </is>
      </c>
      <c r="D15" s="15" t="inlineStr">
        <is>
          <t>14</t>
        </is>
      </c>
      <c r="E15" s="15" t="inlineStr">
        <is>
          <t>comparing_ordering_integers</t>
        </is>
      </c>
      <c r="F15" s="15">
        <f>"y"&amp;B15&amp;"_"&amp;IF(C15="Number","num",IF(C15="Algebra","alg",IF(C15="Measurement","meas",IF(C15="Space","space",IF(C15="Statistics","stats",IF(C15="Probability","prob","UNK"))))))&amp;"_"&amp;D15&amp;"_"&amp;E15&amp;"_v2.html"</f>
        <v/>
      </c>
      <c r="G15" s="15" t="inlineStr">
        <is>
          <t>AC9M7N07</t>
        </is>
      </c>
      <c r="H15" s="15" t="inlineStr">
        <is>
          <t>1,2</t>
        </is>
      </c>
      <c r="I15" s="15" t="inlineStr">
        <is>
          <t>Strict</t>
        </is>
      </c>
      <c r="J15" s="15" t="inlineStr">
        <is>
          <t>The inverse relationships between addition and subtraction and multiplication and division can be used to add, subtract, multiply or divide rational numbers</t>
        </is>
      </c>
      <c r="K15" s="15" t="inlineStr">
        <is>
          <t>&lt; and &gt; with positive/negative integers; language work (magnitude, difference, sign); ordering on number line.</t>
        </is>
      </c>
      <c r="L15" s="15" t="inlineStr">
        <is>
          <t>auto-marked</t>
        </is>
      </c>
      <c r="M15" s="15" t="inlineStr">
        <is>
          <t>y7_num_08</t>
        </is>
      </c>
      <c r="N15" s="15" t="inlineStr">
        <is>
          <t>Published</t>
        </is>
      </c>
      <c r="P15" s="15" t="inlineStr">
        <is>
          <t>https://seager94.github.io/year-7/number/y7_num_14_comparing_ordering_integers_v2.html</t>
        </is>
      </c>
      <c r="Q15" s="15" t="inlineStr">
        <is>
          <t>Status reconciled from repo 2026-05-30 (generated date unconfirmed)</t>
        </is>
      </c>
    </row>
    <row r="16" ht="34.5" customHeight="1" s="16">
      <c r="A16" s="15" t="inlineStr">
        <is>
          <t>y7_num_15</t>
        </is>
      </c>
      <c r="B16" s="15" t="n">
        <v>7</v>
      </c>
      <c r="C16" s="15" t="inlineStr">
        <is>
          <t>Number</t>
        </is>
      </c>
      <c r="D16" s="15" t="inlineStr">
        <is>
          <t>15</t>
        </is>
      </c>
      <c r="E16" s="15" t="inlineStr">
        <is>
          <t>adding_subtracting_integers</t>
        </is>
      </c>
      <c r="F16" s="15">
        <f>"y"&amp;B16&amp;"_"&amp;IF(C16="Number","num",IF(C16="Algebra","alg",IF(C16="Measurement","meas",IF(C16="Space","space",IF(C16="Statistics","stats",IF(C16="Probability","prob","UNK"))))))&amp;"_"&amp;D16&amp;"_"&amp;E16&amp;"_v2.html"</f>
        <v/>
      </c>
      <c r="G16" s="15" t="inlineStr">
        <is>
          <t>AC9M7N07, AC9M7N09</t>
        </is>
      </c>
      <c r="H16" s="15" t="inlineStr">
        <is>
          <t>3 (N07); 1 (N09)</t>
        </is>
      </c>
      <c r="I16" s="15" t="inlineStr">
        <is>
          <t>Strict + cross-tag</t>
        </is>
      </c>
      <c r="J16" s="15" t="inlineStr">
        <is>
          <t>The inverse relationships between addition and subtraction and multiplication and division can be used to add, subtract, multiply or divide rational numbers</t>
        </is>
      </c>
      <c r="K16" s="15" t="inlineStr">
        <is>
          <t>Add and subtract integers using number-line model; apply to lifts/altitude/sea-level modelling.</t>
        </is>
      </c>
      <c r="L16" s="15" t="inlineStr">
        <is>
          <t>auto-marked</t>
        </is>
      </c>
      <c r="M16" s="15" t="inlineStr">
        <is>
          <t>y7_num_14</t>
        </is>
      </c>
      <c r="N16" s="15" t="inlineStr">
        <is>
          <t>Published</t>
        </is>
      </c>
      <c r="P16" s="15" t="inlineStr">
        <is>
          <t>https://seager94.github.io/year-7/number/y7_num_15_adding_subtracting_integers_v2.html</t>
        </is>
      </c>
      <c r="Q16" s="15" t="inlineStr">
        <is>
          <t>Status reconciled from repo 2026-05-30 (generated date unconfirmed)</t>
        </is>
      </c>
    </row>
    <row r="17" ht="23.25" customHeight="1" s="16">
      <c r="A17" s="15" t="inlineStr">
        <is>
          <t>y7_num_16</t>
        </is>
      </c>
      <c r="B17" s="15" t="n">
        <v>7</v>
      </c>
      <c r="C17" s="15" t="inlineStr">
        <is>
          <t>Number</t>
        </is>
      </c>
      <c r="D17" s="15" t="inlineStr">
        <is>
          <t>16</t>
        </is>
      </c>
      <c r="E17" s="15" t="inlineStr">
        <is>
          <t>representing_ratios</t>
        </is>
      </c>
      <c r="F17" s="15">
        <f>"y"&amp;B17&amp;"_"&amp;IF(C17="Number","num",IF(C17="Algebra","alg",IF(C17="Measurement","meas",IF(C17="Space","space",IF(C17="Statistics","stats",IF(C17="Probability","prob","UNK"))))))&amp;"_"&amp;D17&amp;"_"&amp;E17&amp;"_v2.html"</f>
        <v/>
      </c>
      <c r="G17" s="15" t="inlineStr">
        <is>
          <t>AC9M7N08</t>
        </is>
      </c>
      <c r="H17" s="15" t="inlineStr">
        <is>
          <t>1,2</t>
        </is>
      </c>
      <c r="I17" s="15" t="inlineStr">
        <is>
          <t>Strict</t>
        </is>
      </c>
      <c r="J17" s="15" t="inlineStr">
        <is>
          <t>Fractions, percentages, ratios and rates are different ways of representing a proportional relationship between quantities</t>
        </is>
      </c>
      <c r="K17" s="15" t="inlineStr">
        <is>
          <t>Ratios as quantitative comparison of groups; part-part vs part-whole; connection to fractions.</t>
        </is>
      </c>
      <c r="L17" s="15" t="inlineStr">
        <is>
          <t>auto-marked</t>
        </is>
      </c>
      <c r="M17" s="15" t="inlineStr">
        <is>
          <t>y7_num_06</t>
        </is>
      </c>
      <c r="N17" s="15" t="inlineStr">
        <is>
          <t>Published</t>
        </is>
      </c>
      <c r="P17" s="15" t="inlineStr">
        <is>
          <t>https://seager94.github.io/year-7/number/y7_num_16_representing_ratios_v2.html</t>
        </is>
      </c>
      <c r="Q17" s="15" t="inlineStr">
        <is>
          <t>Status reconciled from repo 2026-05-30 (generated date unconfirmed)</t>
        </is>
      </c>
    </row>
    <row r="18" ht="23.25" customHeight="1" s="16">
      <c r="A18" s="15" t="inlineStr">
        <is>
          <t>y7_num_17</t>
        </is>
      </c>
      <c r="B18" s="15" t="n">
        <v>7</v>
      </c>
      <c r="C18" s="15" t="inlineStr">
        <is>
          <t>Number</t>
        </is>
      </c>
      <c r="D18" s="15" t="inlineStr">
        <is>
          <t>17</t>
        </is>
      </c>
      <c r="E18" s="15" t="inlineStr">
        <is>
          <t>sharing_in_a_ratio</t>
        </is>
      </c>
      <c r="F18" s="15">
        <f>"y"&amp;B18&amp;"_"&amp;IF(C18="Number","num",IF(C18="Algebra","alg",IF(C18="Measurement","meas",IF(C18="Space","space",IF(C18="Statistics","stats",IF(C18="Probability","prob","UNK"))))))&amp;"_"&amp;D18&amp;"_"&amp;E18&amp;"_v2.html"</f>
        <v/>
      </c>
      <c r="G18" s="15" t="inlineStr">
        <is>
          <t>AC9M7N08</t>
        </is>
      </c>
      <c r="H18" s="15" t="inlineStr">
        <is>
          <t>3,4</t>
        </is>
      </c>
      <c r="I18" s="15" t="inlineStr">
        <is>
          <t>Strict</t>
        </is>
      </c>
      <c r="J18" s="15" t="inlineStr">
        <is>
          <t>Fractions, percentages, ratios and rates are different ways of representing a proportional relationship between quantities</t>
        </is>
      </c>
      <c r="K18" s="15" t="inlineStr">
        <is>
          <t>Divide a quantity in a given ratio. Applied contexts: money, mixtures, concentrations.</t>
        </is>
      </c>
      <c r="L18" s="15" t="inlineStr">
        <is>
          <t>auto-marked</t>
        </is>
      </c>
      <c r="M18" s="15" t="inlineStr">
        <is>
          <t>y7_num_16</t>
        </is>
      </c>
      <c r="N18" s="15" t="inlineStr">
        <is>
          <t>Published</t>
        </is>
      </c>
      <c r="P18" s="15" t="inlineStr">
        <is>
          <t>https://seager94.github.io/year-7/number/y7_num_17_sharing_in_a_ratio_v2.html</t>
        </is>
      </c>
      <c r="Q18" s="15" t="inlineStr">
        <is>
          <t>Status reconciled from repo 2026-05-30 (generated date unconfirmed)</t>
        </is>
      </c>
    </row>
    <row r="19" ht="23.25" customHeight="1" s="16">
      <c r="A19" s="15" t="inlineStr">
        <is>
          <t>y7_num_18</t>
        </is>
      </c>
      <c r="B19" s="15" t="n">
        <v>7</v>
      </c>
      <c r="C19" s="15" t="inlineStr">
        <is>
          <t>Number</t>
        </is>
      </c>
      <c r="D19" s="15" t="inlineStr">
        <is>
          <t>18</t>
        </is>
      </c>
      <c r="E19" s="15" t="inlineStr">
        <is>
          <t>modelling_with_proportion</t>
        </is>
      </c>
      <c r="F19" s="15">
        <f>"y"&amp;B19&amp;"_"&amp;IF(C19="Number","num",IF(C19="Algebra","alg",IF(C19="Measurement","meas",IF(C19="Space","space",IF(C19="Statistics","stats",IF(C19="Probability","prob","UNK"))))))&amp;"_"&amp;D19&amp;"_"&amp;E19&amp;"_v2.html"</f>
        <v/>
      </c>
      <c r="G19" s="15" t="inlineStr">
        <is>
          <t>AC9M7N09</t>
        </is>
      </c>
      <c r="H19" s="15" t="inlineStr">
        <is>
          <t>2,4</t>
        </is>
      </c>
      <c r="I19" s="15" t="inlineStr">
        <is>
          <t>Strict</t>
        </is>
      </c>
      <c r="J19" s="15" t="inlineStr">
        <is>
          <t>Mathematical modelling can be used to represent and analyse financial and other real-world situations and support informed decision-making</t>
        </is>
      </c>
      <c r="K19" s="15" t="inlineStr">
        <is>
          <t>Modelling proportional contexts: attendance, voting, land use. Includes First Nations grain-belt comparison.</t>
        </is>
      </c>
      <c r="L19" s="15" t="inlineStr">
        <is>
          <t>auto-marked + open-ended</t>
        </is>
      </c>
      <c r="M19" s="15" t="inlineStr">
        <is>
          <t>y7_num_13,y7_num_16</t>
        </is>
      </c>
      <c r="N19" s="15" t="inlineStr">
        <is>
          <t>Published</t>
        </is>
      </c>
      <c r="P19" s="15" t="inlineStr">
        <is>
          <t>https://seager94.github.io/year-7/number/y7_num_18_modelling_with_proportion_v2.html</t>
        </is>
      </c>
      <c r="Q19" s="15" t="inlineStr">
        <is>
          <t>Status reconciled from repo 2026-05-30 (generated date unconfirmed)</t>
        </is>
      </c>
    </row>
    <row r="20" ht="15" customHeight="1" s="16">
      <c r="A20" s="15" t="inlineStr">
        <is>
          <t>y7_num_19</t>
        </is>
      </c>
      <c r="B20" s="15" t="n">
        <v>7</v>
      </c>
      <c r="C20" s="15" t="inlineStr">
        <is>
          <t>Number</t>
        </is>
      </c>
      <c r="D20" s="15" t="inlineStr">
        <is>
          <t>19</t>
        </is>
      </c>
      <c r="E20" s="15" t="inlineStr">
        <is>
          <t>modelling_profit_and_loss</t>
        </is>
      </c>
      <c r="F20" s="15">
        <f>"y"&amp;B20&amp;"_"&amp;IF(C20="Number","num",IF(C20="Algebra","alg",IF(C20="Measurement","meas",IF(C20="Space","space",IF(C20="Statistics","stats",IF(C20="Probability","prob","UNK"))))))&amp;"_"&amp;D20&amp;"_"&amp;E20&amp;"_v2.html"</f>
        <v/>
      </c>
      <c r="G20" s="15" t="inlineStr">
        <is>
          <t>AC9M7N09</t>
        </is>
      </c>
      <c r="H20" s="15" t="inlineStr">
        <is>
          <t>3</t>
        </is>
      </c>
      <c r="I20" s="15" t="inlineStr">
        <is>
          <t>Strict</t>
        </is>
      </c>
      <c r="J20" s="15" t="inlineStr">
        <is>
          <t>Mathematical modelling can be used to represent and analyse financial and other real-world situations and support informed decision-making</t>
        </is>
      </c>
      <c r="K20" s="15" t="inlineStr">
        <is>
          <t>Financial modelling: profit/loss/% profit on fundraiser scenarios.</t>
        </is>
      </c>
      <c r="L20" s="15" t="inlineStr">
        <is>
          <t>auto-marked + open-ended</t>
        </is>
      </c>
      <c r="M20" s="15" t="inlineStr">
        <is>
          <t>y7_num_13</t>
        </is>
      </c>
      <c r="N20" s="15" t="inlineStr">
        <is>
          <t>Published</t>
        </is>
      </c>
      <c r="P20" s="15" t="inlineStr">
        <is>
          <t>https://seager94.github.io/year-7/number/y7_num_19_modelling_profit_and_loss_v2.html</t>
        </is>
      </c>
      <c r="Q20" s="15" t="inlineStr">
        <is>
          <t>Status reconciled from repo 2026-05-30 (generated date unconfirmed)</t>
        </is>
      </c>
    </row>
    <row r="21" ht="15" customHeight="1" s="16">
      <c r="A21" s="15" t="inlineStr">
        <is>
          <t>y7_alg_01</t>
        </is>
      </c>
      <c r="B21" s="15" t="n">
        <v>7</v>
      </c>
      <c r="C21" s="15" t="inlineStr">
        <is>
          <t>Algebra</t>
        </is>
      </c>
      <c r="D21" s="15" t="inlineStr">
        <is>
          <t>01</t>
        </is>
      </c>
      <c r="E21" s="15" t="inlineStr">
        <is>
          <t>variables_and_algebraic_notation</t>
        </is>
      </c>
      <c r="F21" s="15" t="inlineStr">
        <is>
          <t>y7_alg_01_variables_and_algebraic_notation_v2.html</t>
        </is>
      </c>
      <c r="G21" s="15" t="inlineStr">
        <is>
          <t>AC9M7A02</t>
        </is>
      </c>
      <c r="H21" s="15" t="inlineStr">
        <is>
          <t>1</t>
        </is>
      </c>
      <c r="I21" s="15" t="inlineStr">
        <is>
          <t>Strict</t>
        </is>
      </c>
      <c r="J21" s="15" t="inlineStr">
        <is>
          <t>Algebraic expressions can be represented in infinitely many different but equivalent ways</t>
        </is>
      </c>
      <c r="K21" s="15" t="inlineStr">
        <is>
          <t>Introduce variable as a letter representing a number; notation conventions (3x = 3×x, no × symbol); distinguish 3x+4 from 3(x+4); generalise from arithmetic patterns like 7+7+7 = 3×7.</t>
        </is>
      </c>
      <c r="L21" s="15" t="inlineStr">
        <is>
          <t>auto-marked</t>
        </is>
      </c>
      <c r="N21" s="15" t="inlineStr">
        <is>
          <t>Published</t>
        </is>
      </c>
      <c r="O21" s="15" t="inlineStr">
        <is>
          <t>2026-05-20</t>
        </is>
      </c>
      <c r="P21" s="15" t="inlineStr">
        <is>
          <t>https://seager94.github.io/year-7/algebra/y7_alg_01_variables_and_algebraic_notation_v2.html</t>
        </is>
      </c>
      <c r="Q21" s="15" t="inlineStr">
        <is>
          <t>Watershed — foundation for the whole strand.</t>
        </is>
      </c>
    </row>
    <row r="22" ht="15" customHeight="1" s="16">
      <c r="A22" s="15" t="inlineStr">
        <is>
          <t>y7_alg_02</t>
        </is>
      </c>
      <c r="B22" s="15" t="n">
        <v>7</v>
      </c>
      <c r="C22" s="15" t="inlineStr">
        <is>
          <t>Algebra</t>
        </is>
      </c>
      <c r="D22" s="15" t="inlineStr">
        <is>
          <t>02</t>
        </is>
      </c>
      <c r="E22" s="15" t="inlineStr">
        <is>
          <t>translating_words_to_expressions</t>
        </is>
      </c>
      <c r="F22" s="15" t="inlineStr">
        <is>
          <t>y7_alg_02_translating_words_to_expressions_v2.html</t>
        </is>
      </c>
      <c r="G22" s="15" t="inlineStr">
        <is>
          <t>AC9M7A02</t>
        </is>
      </c>
      <c r="H22" s="15" t="inlineStr">
        <is>
          <t>2</t>
        </is>
      </c>
      <c r="I22" s="15" t="inlineStr">
        <is>
          <t>Strict</t>
        </is>
      </c>
      <c r="J22" s="15" t="inlineStr">
        <is>
          <t>Algebraic expressions can be represented in infinitely many different but equivalent ways</t>
        </is>
      </c>
      <c r="K22" s="15" t="inlineStr">
        <is>
          <t>Translate worded statements into algebraic expressions; 'think of a number' puzzles; vocab work.</t>
        </is>
      </c>
      <c r="L22" s="15" t="inlineStr">
        <is>
          <t>auto-marked</t>
        </is>
      </c>
      <c r="M22" s="15" t="inlineStr">
        <is>
          <t>y7_alg_01</t>
        </is>
      </c>
      <c r="N22" s="15" t="inlineStr">
        <is>
          <t>Published</t>
        </is>
      </c>
      <c r="O22" s="15" t="inlineStr">
        <is>
          <t>2026-05-20</t>
        </is>
      </c>
      <c r="P22" s="15" t="inlineStr">
        <is>
          <t>https://seager94.github.io/year-7/algebra/y7_alg_02_translating_words_to_expressions_v2.html</t>
        </is>
      </c>
      <c r="Q22" s="15" t="inlineStr">
        <is>
          <t>Misconception: '5 less than n' is n-5, not 5-n. Error Analysis block.</t>
        </is>
      </c>
    </row>
    <row r="23" ht="15" customHeight="1" s="16">
      <c r="A23" s="15" t="inlineStr">
        <is>
          <t>y7_alg_03</t>
        </is>
      </c>
      <c r="B23" s="15" t="n">
        <v>7</v>
      </c>
      <c r="C23" s="15" t="inlineStr">
        <is>
          <t>Algebra</t>
        </is>
      </c>
      <c r="D23" s="15" t="inlineStr">
        <is>
          <t>03</t>
        </is>
      </c>
      <c r="E23" s="15" t="inlineStr">
        <is>
          <t>substituting_into_expressions</t>
        </is>
      </c>
      <c r="F23" s="15" t="inlineStr">
        <is>
          <t>y7_alg_03_substituting_into_expressions_v2.html</t>
        </is>
      </c>
      <c r="G23" s="15" t="inlineStr">
        <is>
          <t>AC9M7A01</t>
        </is>
      </c>
      <c r="H23" s="15" t="inlineStr">
        <is>
          <t>3 (partial)</t>
        </is>
      </c>
      <c r="I23" s="15" t="inlineStr">
        <is>
          <t>Strict</t>
        </is>
      </c>
      <c r="J23" s="15" t="inlineStr">
        <is>
          <t>Patterns and relationships between variables can be described algebraically and graphed to solve problems and support inferences</t>
        </is>
      </c>
      <c r="K23" s="15" t="inlineStr">
        <is>
          <t>Evaluate single- and multi-variable expressions; emphasis on order of operations and negative substitutions.</t>
        </is>
      </c>
      <c r="L23" s="15" t="inlineStr">
        <is>
          <t>auto-marked</t>
        </is>
      </c>
      <c r="M23" s="15" t="inlineStr">
        <is>
          <t>y7_alg_01</t>
        </is>
      </c>
      <c r="N23" s="15" t="inlineStr">
        <is>
          <t>Published</t>
        </is>
      </c>
      <c r="O23" s="15" t="inlineStr">
        <is>
          <t>2026-05-20</t>
        </is>
      </c>
      <c r="P23" s="15" t="inlineStr">
        <is>
          <t>https://seager94.github.io/year-7/algebra/y7_alg_03_substituting_into_expressions_v2.html</t>
        </is>
      </c>
      <c r="Q23" s="15" t="inlineStr">
        <is>
          <t>Order-of-ops: 3x² where x=4 gives 48, not 144.</t>
        </is>
      </c>
    </row>
    <row r="24" ht="15" customHeight="1" s="16">
      <c r="A24" s="15" t="inlineStr">
        <is>
          <t>y7_alg_04</t>
        </is>
      </c>
      <c r="B24" s="15" t="n">
        <v>7</v>
      </c>
      <c r="C24" s="15" t="inlineStr">
        <is>
          <t>Algebra</t>
        </is>
      </c>
      <c r="D24" s="15" t="inlineStr">
        <is>
          <t>04</t>
        </is>
      </c>
      <c r="E24" s="15" t="inlineStr">
        <is>
          <t>substituting_into_everyday_formulas</t>
        </is>
      </c>
      <c r="F24" s="15" t="inlineStr">
        <is>
          <t>y7_alg_04_substituting_into_everyday_formulas_v2.html</t>
        </is>
      </c>
      <c r="G24" s="15" t="inlineStr">
        <is>
          <t>AC9M7A01</t>
        </is>
      </c>
      <c r="H24" s="15" t="inlineStr">
        <is>
          <t>1, 2, 3</t>
        </is>
      </c>
      <c r="I24" s="15" t="inlineStr">
        <is>
          <t>Strict</t>
        </is>
      </c>
      <c r="J24" s="15" t="inlineStr">
        <is>
          <t>Patterns and relationships between variables can be described algebraically and graphed to solve problems and support inferences</t>
        </is>
      </c>
      <c r="K24" s="15" t="inlineStr">
        <is>
          <t>Substitute into A=l×w, AFL p=6g+b, target heart rate, wages W=b+1.5hr, density d=m/v.</t>
        </is>
      </c>
      <c r="L24" s="15" t="inlineStr">
        <is>
          <t>auto-marked</t>
        </is>
      </c>
      <c r="M24" s="15" t="inlineStr">
        <is>
          <t>y7_alg_03</t>
        </is>
      </c>
      <c r="N24" s="15" t="inlineStr">
        <is>
          <t>Published</t>
        </is>
      </c>
      <c r="O24" s="15" t="inlineStr">
        <is>
          <t>2026-05-20</t>
        </is>
      </c>
      <c r="P24" s="15" t="inlineStr">
        <is>
          <t>https://seager94.github.io/year-7/algebra/y7_alg_04_substituting_into_everyday_formulas_v2.html</t>
        </is>
      </c>
      <c r="Q24" s="15" t="inlineStr">
        <is>
          <t>Watershed. Wages-with-overtime and density carried as Stretch.</t>
        </is>
      </c>
    </row>
    <row r="25" ht="15" customHeight="1" s="16">
      <c r="A25" s="15" t="inlineStr">
        <is>
          <t>y7_alg_05</t>
        </is>
      </c>
      <c r="B25" s="15" t="n">
        <v>7</v>
      </c>
      <c r="C25" s="15" t="inlineStr">
        <is>
          <t>Algebra</t>
        </is>
      </c>
      <c r="D25" s="15" t="inlineStr">
        <is>
          <t>05</t>
        </is>
      </c>
      <c r="E25" s="15" t="inlineStr">
        <is>
          <t>collecting_like_terms</t>
        </is>
      </c>
      <c r="F25" s="15" t="inlineStr">
        <is>
          <t>y7_alg_05_collecting_like_terms_v2.html</t>
        </is>
      </c>
      <c r="G25" s="15" t="inlineStr">
        <is>
          <t>AC9M7A02</t>
        </is>
      </c>
      <c r="H25" s="15" t="inlineStr">
        <is>
          <t>1, 3</t>
        </is>
      </c>
      <c r="I25" s="15" t="inlineStr">
        <is>
          <t>Strict</t>
        </is>
      </c>
      <c r="J25" s="15" t="inlineStr">
        <is>
          <t>The commutative and associative properties apply to addition and multiplication, but not to subtraction and division</t>
        </is>
      </c>
      <c r="K25" s="15" t="inlineStr">
        <is>
          <t>Identify like terms; combine using commutative/associative properties; algebra-tile visuals; distinguish x and x² as different objects.</t>
        </is>
      </c>
      <c r="L25" s="15" t="inlineStr">
        <is>
          <t>auto-marked</t>
        </is>
      </c>
      <c r="M25" s="15" t="inlineStr">
        <is>
          <t>y7_alg_01</t>
        </is>
      </c>
      <c r="N25" s="15" t="inlineStr">
        <is>
          <t>Published</t>
        </is>
      </c>
      <c r="O25" s="15" t="inlineStr">
        <is>
          <t>2026-05-20</t>
        </is>
      </c>
      <c r="P25" s="15" t="inlineStr">
        <is>
          <t>https://seager94.github.io/year-7/algebra/y7_alg_05_collecting_like_terms_v2.html</t>
        </is>
      </c>
      <c r="Q25" s="15" t="inlineStr">
        <is>
          <t>Watershed. Misconception: 3x + 2 = 5x. Error Analysis.</t>
        </is>
      </c>
    </row>
    <row r="26" ht="15" customHeight="1" s="16">
      <c r="A26" s="15" t="inlineStr">
        <is>
          <t>y7_alg_06</t>
        </is>
      </c>
      <c r="B26" s="15" t="n">
        <v>7</v>
      </c>
      <c r="C26" s="15" t="inlineStr">
        <is>
          <t>Algebra</t>
        </is>
      </c>
      <c r="D26" s="15" t="inlineStr">
        <is>
          <t>06</t>
        </is>
      </c>
      <c r="E26" s="15" t="inlineStr">
        <is>
          <t>distributive_law_expanding_brackets</t>
        </is>
      </c>
      <c r="F26" s="15" t="inlineStr">
        <is>
          <t>y7_alg_06_distributive_law_expanding_brackets_v2.html</t>
        </is>
      </c>
      <c r="G26" s="15" t="inlineStr">
        <is>
          <t>AC9M7A02</t>
        </is>
      </c>
      <c r="H26" s="15" t="inlineStr">
        <is>
          <t>1, 3</t>
        </is>
      </c>
      <c r="I26" s="15" t="inlineStr">
        <is>
          <t>Strict</t>
        </is>
      </c>
      <c r="J26" s="15" t="inlineStr">
        <is>
          <t>The distributive property of multiplication over addition and subtraction can be used to support efficient calculation</t>
        </is>
      </c>
      <c r="K26" s="15" t="inlineStr">
        <is>
          <t>Expand single brackets; area-model visualisation first; 3(x+4) = 3x+12; efficient arithmetic via 7×98 = 7(100−2).</t>
        </is>
      </c>
      <c r="L26" s="15" t="inlineStr">
        <is>
          <t>auto-marked</t>
        </is>
      </c>
      <c r="M26" s="15" t="inlineStr">
        <is>
          <t>y7_alg_05</t>
        </is>
      </c>
      <c r="N26" s="15" t="inlineStr">
        <is>
          <t>Published</t>
        </is>
      </c>
      <c r="O26" s="15" t="inlineStr">
        <is>
          <t>2026-05-20</t>
        </is>
      </c>
      <c r="P26" s="15" t="inlineStr">
        <is>
          <t>https://seager94.github.io/year-7/algebra/y7_alg_06_distributive_law_expanding_brackets_v2.html</t>
        </is>
      </c>
      <c r="Q26" s="15" t="inlineStr">
        <is>
          <t>Watershed. Builds toward Y8 binomials.</t>
        </is>
      </c>
    </row>
    <row r="27" ht="15" customHeight="1" s="16">
      <c r="A27" s="15" t="inlineStr">
        <is>
          <t>y7_alg_07</t>
        </is>
      </c>
      <c r="B27" s="15" t="n">
        <v>7</v>
      </c>
      <c r="C27" s="15" t="inlineStr">
        <is>
          <t>Algebra</t>
        </is>
      </c>
      <c r="D27" s="15" t="inlineStr">
        <is>
          <t>07</t>
        </is>
      </c>
      <c r="E27" s="15" t="inlineStr">
        <is>
          <t>meaning_of_solving_an_equation</t>
        </is>
      </c>
      <c r="F27" s="15" t="inlineStr">
        <is>
          <t>y7_alg_07_meaning_of_solving_an_equation_v2.html</t>
        </is>
      </c>
      <c r="G27" s="15" t="inlineStr">
        <is>
          <t>AC9M7A03</t>
        </is>
      </c>
      <c r="H27" s="15" t="inlineStr">
        <is>
          <t>1</t>
        </is>
      </c>
      <c r="I27" s="15" t="inlineStr">
        <is>
          <t>Strict</t>
        </is>
      </c>
      <c r="J27" s="15" t="inlineStr">
        <is>
          <t>Patterns and relationships between variables can be described algebraically and graphed to solve problems and support inferences</t>
        </is>
      </c>
      <c r="K27" s="15" t="inlineStr">
        <is>
          <t>Equation as truth statement; solving = finding the value that makes it true; verify candidate solutions by substitution.</t>
        </is>
      </c>
      <c r="L27" s="15" t="inlineStr">
        <is>
          <t>auto-marked</t>
        </is>
      </c>
      <c r="M27" s="15" t="inlineStr">
        <is>
          <t>y7_alg_03</t>
        </is>
      </c>
      <c r="N27" s="15" t="inlineStr">
        <is>
          <t>Published</t>
        </is>
      </c>
      <c r="O27" s="15" t="inlineStr">
        <is>
          <t>2026-05-20</t>
        </is>
      </c>
      <c r="P27" s="15" t="inlineStr">
        <is>
          <t>https://seager94.github.io/year-7/algebra/y7_alg_07_meaning_of_solving_an_equation_v2.html</t>
        </is>
      </c>
      <c r="Q27" s="15" t="inlineStr">
        <is>
          <t>Practice is 'is x=4 a solution to…?' not 'solve for x'.</t>
        </is>
      </c>
    </row>
    <row r="28" ht="15" customHeight="1" s="16">
      <c r="A28" s="15" t="inlineStr">
        <is>
          <t>y7_alg_08</t>
        </is>
      </c>
      <c r="B28" s="15" t="n">
        <v>7</v>
      </c>
      <c r="C28" s="15" t="inlineStr">
        <is>
          <t>Algebra</t>
        </is>
      </c>
      <c r="D28" s="15" t="inlineStr">
        <is>
          <t>08</t>
        </is>
      </c>
      <c r="E28" s="15" t="inlineStr">
        <is>
          <t>solving_by_backtracking_and_balance</t>
        </is>
      </c>
      <c r="F28" s="15" t="inlineStr">
        <is>
          <t>y7_alg_08_solving_by_backtracking_and_balance_v2.html</t>
        </is>
      </c>
      <c r="G28" s="15" t="inlineStr">
        <is>
          <t>AC9M7A03</t>
        </is>
      </c>
      <c r="H28" s="15" t="inlineStr">
        <is>
          <t>2</t>
        </is>
      </c>
      <c r="I28" s="15" t="inlineStr">
        <is>
          <t>Strict</t>
        </is>
      </c>
      <c r="J28" s="15" t="inlineStr">
        <is>
          <t>Patterns and relationships between variables can be described algebraically and graphed to solve problems and support inferences</t>
        </is>
      </c>
      <c r="K28" s="15" t="inlineStr">
        <is>
          <t>Function-machine backtracking and balance-scale models; step-by-step reasoning before going algebraic.</t>
        </is>
      </c>
      <c r="L28" s="15" t="inlineStr">
        <is>
          <t>auto-marked</t>
        </is>
      </c>
      <c r="M28" s="15" t="inlineStr">
        <is>
          <t>y7_alg_07</t>
        </is>
      </c>
      <c r="N28" s="15" t="inlineStr">
        <is>
          <t>Published</t>
        </is>
      </c>
      <c r="O28" s="15" t="inlineStr">
        <is>
          <t>2026-05-20</t>
        </is>
      </c>
      <c r="P28" s="15" t="inlineStr">
        <is>
          <t>https://seager94.github.io/year-7/algebra/y7_alg_08_solving_by_backtracking_and_balance_v2.html</t>
        </is>
      </c>
      <c r="Q28" s="15" t="inlineStr">
        <is>
          <t>Concrete-pictorial before algebraic in L09.</t>
        </is>
      </c>
    </row>
    <row r="29" ht="15" customHeight="1" s="16">
      <c r="A29" s="15" t="inlineStr">
        <is>
          <t>y7_alg_09</t>
        </is>
      </c>
      <c r="B29" s="15" t="n">
        <v>7</v>
      </c>
      <c r="C29" s="15" t="inlineStr">
        <is>
          <t>Algebra</t>
        </is>
      </c>
      <c r="D29" s="15" t="inlineStr">
        <is>
          <t>09</t>
        </is>
      </c>
      <c r="E29" s="15" t="inlineStr">
        <is>
          <t>solving_linear_equations_algebraically</t>
        </is>
      </c>
      <c r="F29" s="15" t="inlineStr">
        <is>
          <t>y7_alg_09_solving_linear_equations_algebraically_v2.html</t>
        </is>
      </c>
      <c r="G29" s="15" t="inlineStr">
        <is>
          <t>AC9M7A03</t>
        </is>
      </c>
      <c r="H29" s="15" t="inlineStr">
        <is>
          <t>3</t>
        </is>
      </c>
      <c r="I29" s="15" t="inlineStr">
        <is>
          <t>Strict</t>
        </is>
      </c>
      <c r="J29" s="15" t="inlineStr">
        <is>
          <t>Patterns and relationships between variables can be described algebraically and graphed to solve problems and support inferences</t>
        </is>
      </c>
      <c r="K29" s="15" t="inlineStr">
        <is>
          <t>Solve ax+b=c algebraically using inverse operations; verify every solution by substitution.</t>
        </is>
      </c>
      <c r="L29" s="15" t="inlineStr">
        <is>
          <t>auto-marked</t>
        </is>
      </c>
      <c r="M29" s="15" t="inlineStr">
        <is>
          <t>y7_alg_08</t>
        </is>
      </c>
      <c r="N29" s="15" t="inlineStr">
        <is>
          <t>Published</t>
        </is>
      </c>
      <c r="O29" s="15" t="inlineStr">
        <is>
          <t>2026-05-20</t>
        </is>
      </c>
      <c r="P29" s="15" t="inlineStr">
        <is>
          <t>https://seager94.github.io/year-7/algebra/y7_alg_09_solving_linear_equations_algebraically_v2.html</t>
        </is>
      </c>
      <c r="Q29" s="15" t="inlineStr">
        <is>
          <t>Watershed — destination of the equations track. Verification step explicit.</t>
        </is>
      </c>
    </row>
    <row r="30" ht="15" customHeight="1" s="16">
      <c r="A30" s="15" t="inlineStr">
        <is>
          <t>y7_alg_10</t>
        </is>
      </c>
      <c r="B30" s="15" t="n">
        <v>7</v>
      </c>
      <c r="C30" s="15" t="inlineStr">
        <is>
          <t>Algebra</t>
        </is>
      </c>
      <c r="D30" s="15" t="inlineStr">
        <is>
          <t>10</t>
        </is>
      </c>
      <c r="E30" s="15" t="inlineStr">
        <is>
          <t>patterns_to_tables_of_values</t>
        </is>
      </c>
      <c r="F30" s="15" t="inlineStr">
        <is>
          <t>y7_alg_10_patterns_to_tables_of_values_v2.html</t>
        </is>
      </c>
      <c r="G30" s="15" t="inlineStr">
        <is>
          <t>AC9M7A05</t>
        </is>
      </c>
      <c r="H30" s="15" t="inlineStr">
        <is>
          <t>2, 4</t>
        </is>
      </c>
      <c r="I30" s="15" t="inlineStr">
        <is>
          <t>Strict</t>
        </is>
      </c>
      <c r="J30" s="15" t="inlineStr">
        <is>
          <t>Patterns and relationships between variables can be described algebraically and graphed to solve problems and support inferences</t>
        </is>
      </c>
      <c r="K30" s="15" t="inlineStr">
        <is>
          <t>Build table from visually growing pattern; describe relationship; generalise to rule; use rule to find later terms.</t>
        </is>
      </c>
      <c r="L30" s="15" t="inlineStr">
        <is>
          <t>auto-marked</t>
        </is>
      </c>
      <c r="M30" s="15" t="inlineStr">
        <is>
          <t>y7_alg_01</t>
        </is>
      </c>
      <c r="N30" s="15" t="inlineStr">
        <is>
          <t>Published</t>
        </is>
      </c>
      <c r="O30" s="15" t="inlineStr">
        <is>
          <t>2026-05-21</t>
        </is>
      </c>
      <c r="P30" s="15" t="inlineStr">
        <is>
          <t>https://seager94.github.io/year-7/algebra/y7_alg_10_patterns_to_tables_of_values_v2.html</t>
        </is>
      </c>
    </row>
    <row r="31" ht="15" customHeight="1" s="16">
      <c r="A31" s="15" t="inlineStr">
        <is>
          <t>y7_alg_11</t>
        </is>
      </c>
      <c r="B31" s="15" t="n">
        <v>7</v>
      </c>
      <c r="C31" s="15" t="inlineStr">
        <is>
          <t>Algebra</t>
        </is>
      </c>
      <c r="D31" s="15" t="inlineStr">
        <is>
          <t>11</t>
        </is>
      </c>
      <c r="E31" s="15" t="inlineStr">
        <is>
          <t>plotting_linear_relationships_on_cartesian_plane</t>
        </is>
      </c>
      <c r="F31" s="15" t="inlineStr">
        <is>
          <t>y7_alg_11_plotting_linear_relationships_on_cartesian_plane_v2.html</t>
        </is>
      </c>
      <c r="G31" s="15" t="inlineStr">
        <is>
          <t>AC9M7A05</t>
        </is>
      </c>
      <c r="H31" s="15" t="inlineStr">
        <is>
          <t>1, 3</t>
        </is>
      </c>
      <c r="I31" s="15" t="inlineStr">
        <is>
          <t>Strict</t>
        </is>
      </c>
      <c r="J31" s="15" t="inlineStr">
        <is>
          <t>Patterns and relationships between variables can be described algebraically and graphed to solve problems and support inferences</t>
        </is>
      </c>
      <c r="K31" s="15" t="inlineStr">
        <is>
          <t>Plot ordered pairs from table on Cartesian plane; linear rules produce straight lines; function machines as input-output generators.</t>
        </is>
      </c>
      <c r="L31" s="15" t="inlineStr">
        <is>
          <t>auto-marked</t>
        </is>
      </c>
      <c r="M31" s="15" t="inlineStr">
        <is>
          <t>y7_alg_10</t>
        </is>
      </c>
      <c r="N31" s="15" t="inlineStr">
        <is>
          <t>Published</t>
        </is>
      </c>
      <c r="O31" s="15" t="inlineStr">
        <is>
          <t>2026-05-21</t>
        </is>
      </c>
      <c r="P31" s="15" t="inlineStr">
        <is>
          <t>https://seager94.github.io/year-7/algebra/y7_alg_11_plotting_linear_relationships_on_cartesian_plane_v2.html</t>
        </is>
      </c>
      <c r="Q31" s="15" t="inlineStr">
        <is>
          <t>Watershed — first formal Cartesian plotting. Filename drifted from planned 'cartesian' to 'on_cartesian_plane'; published URL is source of truth.</t>
        </is>
      </c>
    </row>
    <row r="32" ht="15" customHeight="1" s="16">
      <c r="A32" s="15" t="inlineStr">
        <is>
          <t>y7_alg_12</t>
        </is>
      </c>
      <c r="B32" s="15" t="n">
        <v>7</v>
      </c>
      <c r="C32" s="15" t="inlineStr">
        <is>
          <t>Algebra</t>
        </is>
      </c>
      <c r="D32" s="15" t="inlineStr">
        <is>
          <t>12</t>
        </is>
      </c>
      <c r="E32" s="15" t="inlineStr">
        <is>
          <t>telling_stories_from_graphs</t>
        </is>
      </c>
      <c r="F32" s="15" t="inlineStr">
        <is>
          <t>y7_alg_12_telling_stories_from_graphs_v2.html</t>
        </is>
      </c>
      <c r="G32" s="15" t="inlineStr">
        <is>
          <t>AC9M7A04</t>
        </is>
      </c>
      <c r="H32" s="15" t="inlineStr">
        <is>
          <t>1, 2, 3, 4</t>
        </is>
      </c>
      <c r="I32" s="15" t="inlineStr">
        <is>
          <t>Strict</t>
        </is>
      </c>
      <c r="J32" s="15" t="inlineStr">
        <is>
          <t>Patterns and relationships between variables can be described algebraically and graphed to solve problems and support inferences</t>
        </is>
      </c>
      <c r="K32" s="15" t="inlineStr">
        <is>
          <t>Interpret authentic-data graphs (temperature, electricity, travel, pouring rates); read values; identify features; match stories to shapes.</t>
        </is>
      </c>
      <c r="L32" s="15" t="inlineStr">
        <is>
          <t>auto-marked</t>
        </is>
      </c>
      <c r="M32" s="15" t="inlineStr">
        <is>
          <t>y7_alg_11</t>
        </is>
      </c>
      <c r="N32" s="15" t="inlineStr">
        <is>
          <t>Published</t>
        </is>
      </c>
      <c r="O32" s="15" t="inlineStr">
        <is>
          <t>2026-05-21</t>
        </is>
      </c>
      <c r="P32" s="15" t="inlineStr">
        <is>
          <t>https://seager94.github.io/year-7/algebra/y7_alg_12_telling_stories_from_graphs_v2.html</t>
        </is>
      </c>
      <c r="Q32" s="15" t="inlineStr">
        <is>
          <t>Mastery: First Nations water-resource management evaporation graphs. Reflection questions are the only non-auto-marked elements.</t>
        </is>
      </c>
    </row>
    <row r="33" ht="15" customHeight="1" s="16">
      <c r="A33" s="15" t="inlineStr">
        <is>
          <t>y7_alg_13</t>
        </is>
      </c>
      <c r="B33" s="15" t="n">
        <v>7</v>
      </c>
      <c r="C33" s="15" t="inlineStr">
        <is>
          <t>Algebra</t>
        </is>
      </c>
      <c r="D33" s="15" t="inlineStr">
        <is>
          <t>13</t>
        </is>
      </c>
      <c r="E33" s="15" t="inlineStr">
        <is>
          <t>manipulating_formulas_systematic_variation</t>
        </is>
      </c>
      <c r="F33" s="15" t="inlineStr">
        <is>
          <t>y7_alg_13_manipulating_formulas_systematic_variation_v2.html</t>
        </is>
      </c>
      <c r="G33" s="15" t="inlineStr">
        <is>
          <t>AC9M7A06</t>
        </is>
      </c>
      <c r="H33" s="15" t="inlineStr">
        <is>
          <t>1, 2, 3</t>
        </is>
      </c>
      <c r="I33" s="15" t="inlineStr">
        <is>
          <t>Strict</t>
        </is>
      </c>
      <c r="J33" s="15" t="inlineStr">
        <is>
          <t>Patterns and relationships between variables can be described algebraically and graphed to solve problems and support inferences</t>
        </is>
      </c>
      <c r="K33" s="15" t="inlineStr">
        <is>
          <t>Reactive tables to vary inputs in formulas (V=lwh, d=st); describe effect of systematic variation.</t>
        </is>
      </c>
      <c r="L33" s="15" t="inlineStr">
        <is>
          <t>auto-marked</t>
        </is>
      </c>
      <c r="M33" s="15" t="inlineStr">
        <is>
          <t>y7_alg_04</t>
        </is>
      </c>
      <c r="N33" s="15" t="inlineStr">
        <is>
          <t>Published</t>
        </is>
      </c>
      <c r="O33" s="15" t="inlineStr">
        <is>
          <t>2026-05-21</t>
        </is>
      </c>
      <c r="P33" s="15" t="inlineStr">
        <is>
          <t>https://seager94.github.io/year-7/algebra/y7_alg_13_manipulating_formulas_systematic_variation_v2.html</t>
        </is>
      </c>
      <c r="Q33" s="15" t="inlineStr">
        <is>
          <t>HTML lesson uses embedded reactive tables as the 'digital tool'. Section 4 same-volume puzzle was a nice CC addition. Excel/Sheets follow-up recommended.</t>
        </is>
      </c>
    </row>
    <row r="34" ht="15" customHeight="1" s="16">
      <c r="A34" s="15" t="inlineStr">
        <is>
          <t>y7_mea_01</t>
        </is>
      </c>
      <c r="B34" s="15" t="n">
        <v>7</v>
      </c>
      <c r="C34" s="15" t="inlineStr">
        <is>
          <t>Measurement</t>
        </is>
      </c>
      <c r="D34" s="15" t="n">
        <v>1</v>
      </c>
      <c r="E34" s="15" t="inlineStr">
        <is>
          <t>area_of_triangles</t>
        </is>
      </c>
      <c r="F34" s="15" t="inlineStr">
        <is>
          <t>y7_mea_01_area_of_triangles_v2.html</t>
        </is>
      </c>
      <c r="G34" s="15" t="inlineStr">
        <is>
          <t>AC9M7M01</t>
        </is>
      </c>
      <c r="H34" s="15" t="inlineStr">
        <is>
          <t>1,2</t>
        </is>
      </c>
      <c r="I34" s="15" t="inlineStr">
        <is>
          <t>Strict</t>
        </is>
      </c>
      <c r="J34" s="15" t="inlineStr">
        <is>
          <t>Measurable attributes of 2-dimensional shapes and 3-dimensional objects can be determined based on the known properties of the shape or solid</t>
        </is>
      </c>
      <c r="K34" s="15" t="inlineStr">
        <is>
          <t>Derive area of a triangle as half an appropriate rectangle (½×base×height); identify the perpendicular height (not just any side); calculate areas of acute, obtuse and right-angled triangles.</t>
        </is>
      </c>
      <c r="L34" s="15" t="inlineStr">
        <is>
          <t>auto-marked</t>
        </is>
      </c>
      <c r="M34" s="15" t="inlineStr">
        <is>
          <t>y7_num_10</t>
        </is>
      </c>
      <c r="N34" s="15" t="inlineStr">
        <is>
          <t>Published</t>
        </is>
      </c>
      <c r="O34" s="15" t="inlineStr">
        <is>
          <t>2026-05-21</t>
        </is>
      </c>
      <c r="P34" s="15" t="inlineStr">
        <is>
          <t>https://seager94.github.io/year-7/measurement/y7_mea_01_area_of_triangles_v2.html</t>
        </is>
      </c>
      <c r="Q34" s="15" t="inlineStr">
        <is>
          <t>Cross-strand prereq: fraction arithmetic for the ½ multiplier.</t>
        </is>
      </c>
    </row>
    <row r="35" ht="15" customHeight="1" s="16">
      <c r="A35" s="15" t="inlineStr">
        <is>
          <t>y7_mea_02</t>
        </is>
      </c>
      <c r="B35" s="15" t="n">
        <v>7</v>
      </c>
      <c r="C35" s="15" t="inlineStr">
        <is>
          <t>Measurement</t>
        </is>
      </c>
      <c r="D35" s="15" t="n">
        <v>2</v>
      </c>
      <c r="E35" s="15" t="inlineStr">
        <is>
          <t>area_of_parallelograms</t>
        </is>
      </c>
      <c r="F35" s="15" t="inlineStr">
        <is>
          <t>y7_mea_02_area_of_parallelograms_v2.html</t>
        </is>
      </c>
      <c r="G35" s="15" t="inlineStr">
        <is>
          <t>AC9M7M01</t>
        </is>
      </c>
      <c r="H35" s="15" t="inlineStr">
        <is>
          <t>1,3</t>
        </is>
      </c>
      <c r="I35" s="15" t="inlineStr">
        <is>
          <t>Strict</t>
        </is>
      </c>
      <c r="J35" s="15" t="inlineStr">
        <is>
          <t>Measurable attributes of 2-dimensional shapes and 3-dimensional objects can be determined based on the known properties of the shape or solid</t>
        </is>
      </c>
      <c r="K35" s="15" t="inlineStr">
        <is>
          <t>Derive A=base×height for parallelograms by re-arranging into a rectangle; identify the perpendicular height; shade-sail and tiling cost problems.</t>
        </is>
      </c>
      <c r="L35" s="15" t="inlineStr">
        <is>
          <t>auto-marked</t>
        </is>
      </c>
      <c r="M35" s="15" t="inlineStr">
        <is>
          <t>y7_mea_01</t>
        </is>
      </c>
      <c r="N35" s="15" t="inlineStr">
        <is>
          <t>Published</t>
        </is>
      </c>
      <c r="O35" s="15" t="inlineStr">
        <is>
          <t>2026-05-21</t>
        </is>
      </c>
      <c r="P35" s="15" t="inlineStr">
        <is>
          <t>https://seager94.github.io/year-7/measurement/y7_mea_02_area_of_parallelograms_v2.html</t>
        </is>
      </c>
    </row>
    <row r="36" ht="15" customHeight="1" s="16">
      <c r="A36" s="15" t="inlineStr">
        <is>
          <t>y7_mea_03</t>
        </is>
      </c>
      <c r="B36" s="15" t="n">
        <v>7</v>
      </c>
      <c r="C36" s="15" t="inlineStr">
        <is>
          <t>Measurement</t>
        </is>
      </c>
      <c r="D36" s="15" t="n">
        <v>3</v>
      </c>
      <c r="E36" s="15" t="inlineStr">
        <is>
          <t>volume_of_rectangular_prisms</t>
        </is>
      </c>
      <c r="F36" s="15" t="inlineStr">
        <is>
          <t>y7_mea_03_volume_of_rectangular_prisms_v2.html</t>
        </is>
      </c>
      <c r="G36" s="15" t="inlineStr">
        <is>
          <t>AC9M7M02</t>
        </is>
      </c>
      <c r="H36" s="15" t="inlineStr">
        <is>
          <t>1,3</t>
        </is>
      </c>
      <c r="I36" s="15" t="inlineStr">
        <is>
          <t>Strict</t>
        </is>
      </c>
      <c r="J36" s="15" t="inlineStr">
        <is>
          <t>Measurable attributes of 2-dimensional shapes and 3-dimensional objects can be determined based on the known properties of the shape or solid</t>
        </is>
      </c>
      <c r="K36" s="15" t="inlineStr">
        <is>
          <t>Build rectangular prisms from unit cubes; derive V=l×w×h; apply to high-rise volume (floor area × number of floors); convert between cm³, m³ and capacity (mL, L).</t>
        </is>
      </c>
      <c r="L36" s="15" t="inlineStr">
        <is>
          <t>auto-marked</t>
        </is>
      </c>
      <c r="N36" s="15" t="inlineStr">
        <is>
          <t>Published</t>
        </is>
      </c>
      <c r="O36" s="15" t="inlineStr">
        <is>
          <t>2026-05-21</t>
        </is>
      </c>
      <c r="P36" s="15" t="inlineStr">
        <is>
          <t>https://seager94.github.io/year-7/measurement/y7_mea_03_volume_of_rectangular_prisms_v2.html</t>
        </is>
      </c>
    </row>
    <row r="37" ht="15" customHeight="1" s="16">
      <c r="A37" s="15" t="inlineStr">
        <is>
          <t>y7_mea_04</t>
        </is>
      </c>
      <c r="B37" s="15" t="n">
        <v>7</v>
      </c>
      <c r="C37" s="15" t="inlineStr">
        <is>
          <t>Measurement</t>
        </is>
      </c>
      <c r="D37" s="15" t="n">
        <v>4</v>
      </c>
      <c r="E37" s="15" t="inlineStr">
        <is>
          <t>volume_of_triangular_prisms</t>
        </is>
      </c>
      <c r="F37" s="15" t="inlineStr">
        <is>
          <t>y7_mea_04_volume_of_triangular_prisms_v2.html</t>
        </is>
      </c>
      <c r="G37" s="15" t="inlineStr">
        <is>
          <t>AC9M7M02</t>
        </is>
      </c>
      <c r="H37" s="15" t="inlineStr">
        <is>
          <t>2,4</t>
        </is>
      </c>
      <c r="I37" s="15" t="inlineStr">
        <is>
          <t>Strict</t>
        </is>
      </c>
      <c r="J37" s="15" t="inlineStr">
        <is>
          <t>Measurable attributes of 2-dimensional shapes and 3-dimensional objects can be determined based on the known properties of the shape or solid</t>
        </is>
      </c>
      <c r="K37" s="15" t="inlineStr">
        <is>
          <t>Generalise to V = cross-section area × length for any right prism; calculate volumes of triangular prisms; predict-and-test cross-section reasoning.</t>
        </is>
      </c>
      <c r="L37" s="15" t="inlineStr">
        <is>
          <t>auto-marked</t>
        </is>
      </c>
      <c r="M37" s="15" t="inlineStr">
        <is>
          <t>y7_mea_01,y7_mea_03</t>
        </is>
      </c>
      <c r="N37" s="15" t="inlineStr">
        <is>
          <t>Published</t>
        </is>
      </c>
      <c r="O37" s="15" t="inlineStr">
        <is>
          <t>2026-05-21</t>
        </is>
      </c>
      <c r="P37" s="15" t="inlineStr">
        <is>
          <t>https://seager94.github.io/year-7/measurement/y7_mea_04_volume_of_triangular_prisms_v2.html</t>
        </is>
      </c>
    </row>
    <row r="38" ht="15" customHeight="1" s="16">
      <c r="A38" s="15" t="inlineStr">
        <is>
          <t>y7_mea_05</t>
        </is>
      </c>
      <c r="B38" s="15" t="n">
        <v>7</v>
      </c>
      <c r="C38" s="15" t="inlineStr">
        <is>
          <t>Measurement</t>
        </is>
      </c>
      <c r="D38" s="15" t="n">
        <v>5</v>
      </c>
      <c r="E38" s="15" t="inlineStr">
        <is>
          <t>features_of_circles</t>
        </is>
      </c>
      <c r="F38" s="15" t="inlineStr">
        <is>
          <t>y7_mea_05_features_of_circles_v2.html</t>
        </is>
      </c>
      <c r="G38" s="15" t="inlineStr">
        <is>
          <t>AC9M7M03</t>
        </is>
      </c>
      <c r="H38" s="15" t="inlineStr">
        <is>
          <t>1,4</t>
        </is>
      </c>
      <c r="I38" s="15" t="inlineStr">
        <is>
          <t>Strict</t>
        </is>
      </c>
      <c r="J38" s="15" t="inlineStr">
        <is>
          <t>In any circle, the ratio of the circumference to the diameter is always the same and is represented by the number pi (π)</t>
        </is>
      </c>
      <c r="K38" s="15" t="inlineStr">
        <is>
          <t>Identify and label centre, radius, diameter, chord and circumference; use the relationship d=2r; First Nations Australians' use of circles in basketry, symbols and architecture.</t>
        </is>
      </c>
      <c r="L38" s="15" t="inlineStr">
        <is>
          <t>auto-marked</t>
        </is>
      </c>
      <c r="N38" s="15" t="inlineStr">
        <is>
          <t>Published</t>
        </is>
      </c>
      <c r="O38" s="15" t="inlineStr">
        <is>
          <t>2026-05-21</t>
        </is>
      </c>
      <c r="P38" s="15" t="inlineStr">
        <is>
          <t>https://seager94.github.io/year-7/measurement/y7_mea_05_features_of_circles_v2.html</t>
        </is>
      </c>
    </row>
    <row r="39" ht="15" customHeight="1" s="16">
      <c r="A39" s="15" t="inlineStr">
        <is>
          <t>y7_mea_06</t>
        </is>
      </c>
      <c r="B39" s="15" t="n">
        <v>7</v>
      </c>
      <c r="C39" s="15" t="inlineStr">
        <is>
          <t>Measurement</t>
        </is>
      </c>
      <c r="D39" s="15" t="n">
        <v>6</v>
      </c>
      <c r="E39" s="15" t="inlineStr">
        <is>
          <t>introducing_pi</t>
        </is>
      </c>
      <c r="F39" s="15" t="inlineStr">
        <is>
          <t>y7_mea_06_introducing_pi_v2.html</t>
        </is>
      </c>
      <c r="G39" s="15" t="inlineStr">
        <is>
          <t>AC9M7M03</t>
        </is>
      </c>
      <c r="H39" s="15" t="inlineStr">
        <is>
          <t>2,3</t>
        </is>
      </c>
      <c r="I39" s="15" t="inlineStr">
        <is>
          <t>Strict</t>
        </is>
      </c>
      <c r="J39" s="15" t="inlineStr">
        <is>
          <t>In any circle, the ratio of the circumference to the diameter is always the same and is represented by the number pi (π)</t>
        </is>
      </c>
      <c r="K39" s="15" t="inlineStr">
        <is>
          <t>Measure circumference and diameter of round objects with string; record C÷d; observe the constant ratio ≈ π; historical approximations of π from Egypt, Babylon, Greece, India and China.</t>
        </is>
      </c>
      <c r="L39" s="15" t="inlineStr">
        <is>
          <t>auto-marked + open-ended</t>
        </is>
      </c>
      <c r="M39" s="15" t="inlineStr">
        <is>
          <t>y7_mea_05</t>
        </is>
      </c>
      <c r="N39" s="15" t="inlineStr">
        <is>
          <t>Published</t>
        </is>
      </c>
      <c r="O39" s="15" t="inlineStr">
        <is>
          <t>2026-05-21</t>
        </is>
      </c>
      <c r="P39" s="15" t="inlineStr">
        <is>
          <t>https://seager94.github.io/year-7/measurement/y7_mea_06_introducing_pi_v2.html</t>
        </is>
      </c>
      <c r="Q39" s="15" t="inlineStr">
        <is>
          <t>Investigation lesson — practice should include some measurement-and-record task.</t>
        </is>
      </c>
    </row>
    <row r="40" ht="15" customHeight="1" s="16">
      <c r="A40" s="15" t="inlineStr">
        <is>
          <t>y7_mea_07</t>
        </is>
      </c>
      <c r="B40" s="15" t="n">
        <v>7</v>
      </c>
      <c r="C40" s="15" t="inlineStr">
        <is>
          <t>Measurement</t>
        </is>
      </c>
      <c r="D40" s="15" t="n">
        <v>7</v>
      </c>
      <c r="E40" s="15" t="inlineStr">
        <is>
          <t>parallel_lines_and_transversals</t>
        </is>
      </c>
      <c r="F40" s="15" t="inlineStr">
        <is>
          <t>y7_mea_07_parallel_lines_and_transversals_v2.html</t>
        </is>
      </c>
      <c r="G40" s="15" t="inlineStr">
        <is>
          <t>AC9M7M04</t>
        </is>
      </c>
      <c r="H40" s="15" t="inlineStr">
        <is>
          <t>1,2</t>
        </is>
      </c>
      <c r="I40" s="15" t="inlineStr">
        <is>
          <t>Strict</t>
        </is>
      </c>
      <c r="J40" s="15" t="inlineStr">
        <is>
          <t>Parallel and intersecting lines have properties that can be used to deduce relationships between the angles formed</t>
        </is>
      </c>
      <c r="K40" s="15" t="inlineStr">
        <is>
          <t>Construct parallel lines; identify corresponding, alternate and co-interior angles when a transversal crosses parallel lines; calculate unknown angles using these relationships.</t>
        </is>
      </c>
      <c r="L40" s="15" t="inlineStr">
        <is>
          <t>auto-marked</t>
        </is>
      </c>
      <c r="N40" s="15" t="inlineStr">
        <is>
          <t>Published</t>
        </is>
      </c>
      <c r="O40" s="15" t="inlineStr">
        <is>
          <t>2026-05-21</t>
        </is>
      </c>
      <c r="P40" s="15" t="inlineStr">
        <is>
          <t>https://seager94.github.io/year-7/measurement/y7_mea_07_parallel_lines_and_transversals_v2.html</t>
        </is>
      </c>
    </row>
    <row r="41" ht="15" customHeight="1" s="16">
      <c r="A41" s="15" t="inlineStr">
        <is>
          <t>y7_mea_08</t>
        </is>
      </c>
      <c r="B41" s="15" t="n">
        <v>7</v>
      </c>
      <c r="C41" s="15" t="inlineStr">
        <is>
          <t>Measurement</t>
        </is>
      </c>
      <c r="D41" s="15" t="n">
        <v>8</v>
      </c>
      <c r="E41" s="15" t="inlineStr">
        <is>
          <t>applying_parallel_line_angles</t>
        </is>
      </c>
      <c r="F41" s="15" t="inlineStr">
        <is>
          <t>y7_mea_08_applying_parallel_line_angles_v2.html</t>
        </is>
      </c>
      <c r="G41" s="15" t="inlineStr">
        <is>
          <t>AC9M7M04</t>
        </is>
      </c>
      <c r="H41" s="15" t="inlineStr">
        <is>
          <t>3,4</t>
        </is>
      </c>
      <c r="I41" s="15" t="inlineStr">
        <is>
          <t>Strict</t>
        </is>
      </c>
      <c r="J41" s="15" t="inlineStr">
        <is>
          <t>Parallel and intersecting lines have properties that can be used to deduce relationships between the angles formed</t>
        </is>
      </c>
      <c r="K41" s="15" t="inlineStr">
        <is>
          <t>Apply parallel-line angle reasoning to real contexts: scissor lifts, folding umbrellas, cherry pickers; justify each step with the angle property used; exterior-angle of a triangle.</t>
        </is>
      </c>
      <c r="L41" s="15" t="inlineStr">
        <is>
          <t>auto-marked</t>
        </is>
      </c>
      <c r="M41" s="15" t="inlineStr">
        <is>
          <t>y7_mea_07</t>
        </is>
      </c>
      <c r="N41" s="15" t="inlineStr">
        <is>
          <t>Published</t>
        </is>
      </c>
      <c r="O41" s="15" t="inlineStr">
        <is>
          <t>2026-05-21</t>
        </is>
      </c>
      <c r="P41" s="15" t="inlineStr">
        <is>
          <t>https://seager94.github.io/year-7/measurement/y7_mea_08_applying_parallel_line_angles_v2.html</t>
        </is>
      </c>
    </row>
    <row r="42" ht="15" customHeight="1" s="16">
      <c r="A42" s="15" t="inlineStr">
        <is>
          <t>y7_mea_09</t>
        </is>
      </c>
      <c r="B42" s="15" t="n">
        <v>7</v>
      </c>
      <c r="C42" s="15" t="inlineStr">
        <is>
          <t>Measurement</t>
        </is>
      </c>
      <c r="D42" s="15" t="n">
        <v>9</v>
      </c>
      <c r="E42" s="15" t="inlineStr">
        <is>
          <t>angle_sum_of_a_triangle</t>
        </is>
      </c>
      <c r="F42" s="15" t="inlineStr">
        <is>
          <t>y7_mea_09_angle_sum_of_a_triangle_v2.html</t>
        </is>
      </c>
      <c r="G42" s="15" t="inlineStr">
        <is>
          <t>AC9M7M05</t>
        </is>
      </c>
      <c r="H42" s="15" t="inlineStr">
        <is>
          <t>1</t>
        </is>
      </c>
      <c r="I42" s="15" t="inlineStr">
        <is>
          <t>Strict</t>
        </is>
      </c>
      <c r="J42" s="15" t="inlineStr">
        <is>
          <t>Parallel and intersecting lines have properties that can be used to deduce relationships between the angles formed</t>
        </is>
      </c>
      <c r="K42" s="15" t="inlineStr">
        <is>
          <t>Demonstrate that interior angles of a triangle sum to 180° (tearing-and-arranging); calculate unknown angles in triangles; connect to parallel-line angle properties.</t>
        </is>
      </c>
      <c r="L42" s="15" t="inlineStr">
        <is>
          <t>auto-marked</t>
        </is>
      </c>
      <c r="M42" s="15" t="inlineStr">
        <is>
          <t>y7_mea_07</t>
        </is>
      </c>
      <c r="N42" s="15" t="inlineStr">
        <is>
          <t>Published</t>
        </is>
      </c>
      <c r="O42" s="15" t="inlineStr">
        <is>
          <t>2026-05-21</t>
        </is>
      </c>
      <c r="P42" s="15" t="inlineStr">
        <is>
          <t>https://seager94.github.io/year-7/measurement/y7_mea_09_angle_sum_of_a_triangle_v2.html</t>
        </is>
      </c>
    </row>
    <row r="43" ht="15" customHeight="1" s="16">
      <c r="A43" s="15" t="inlineStr">
        <is>
          <t>y7_mea_10</t>
        </is>
      </c>
      <c r="B43" s="15" t="n">
        <v>7</v>
      </c>
      <c r="C43" s="15" t="inlineStr">
        <is>
          <t>Measurement</t>
        </is>
      </c>
      <c r="D43" s="15" t="n">
        <v>10</v>
      </c>
      <c r="E43" s="15" t="inlineStr">
        <is>
          <t>angle_sum_of_polygons</t>
        </is>
      </c>
      <c r="F43" s="15" t="inlineStr">
        <is>
          <t>y7_mea_10_angle_sum_of_polygons_v2.html</t>
        </is>
      </c>
      <c r="G43" s="15" t="inlineStr">
        <is>
          <t>AC9M7M05</t>
        </is>
      </c>
      <c r="H43" s="15" t="inlineStr">
        <is>
          <t>2</t>
        </is>
      </c>
      <c r="I43" s="15" t="inlineStr">
        <is>
          <t>Strict</t>
        </is>
      </c>
      <c r="J43" s="15" t="inlineStr">
        <is>
          <t>Parallel and intersecting lines have properties that can be used to deduce relationships between the angles formed</t>
        </is>
      </c>
      <c r="K43" s="15" t="inlineStr">
        <is>
          <t>Decompose polygons into triangles to derive interior angle sum (n−2)×180; calculate interior angles of regular polygons; solve for unknown angles in irregular polygons.</t>
        </is>
      </c>
      <c r="L43" s="15" t="inlineStr">
        <is>
          <t>auto-marked</t>
        </is>
      </c>
      <c r="M43" s="15" t="inlineStr">
        <is>
          <t>y7_mea_09</t>
        </is>
      </c>
      <c r="N43" s="15" t="inlineStr">
        <is>
          <t>Published</t>
        </is>
      </c>
      <c r="O43" s="15" t="inlineStr">
        <is>
          <t>2026-05-21</t>
        </is>
      </c>
      <c r="P43" s="15" t="inlineStr">
        <is>
          <t>https://seager94.github.io/year-7/measurement/y7_mea_10_angle_sum_of_polygons_v2.html</t>
        </is>
      </c>
    </row>
    <row r="44" ht="15" customHeight="1" s="16">
      <c r="A44" s="15" t="inlineStr">
        <is>
          <t>y7_mea_11</t>
        </is>
      </c>
      <c r="B44" s="15" t="n">
        <v>7</v>
      </c>
      <c r="C44" s="15" t="inlineStr">
        <is>
          <t>Measurement</t>
        </is>
      </c>
      <c r="D44" s="15" t="n">
        <v>11</v>
      </c>
      <c r="E44" s="15" t="inlineStr">
        <is>
          <t>modelling_ratios_in_recipes_and_design</t>
        </is>
      </c>
      <c r="F44" s="15" t="inlineStr">
        <is>
          <t>y7_mea_11_modelling_ratios_in_recipes_and_design_v2.html</t>
        </is>
      </c>
      <c r="G44" s="15" t="inlineStr">
        <is>
          <t>AC9M7M06</t>
        </is>
      </c>
      <c r="H44" s="15" t="inlineStr">
        <is>
          <t>1,2,3,4</t>
        </is>
      </c>
      <c r="I44" s="15" t="inlineStr">
        <is>
          <t>Strict</t>
        </is>
      </c>
      <c r="J44" s="15" t="inlineStr">
        <is>
          <t>Measurable attributes of 2-dimensional shapes and 3-dimensional objects can be determined based on the known properties of the shape or solid</t>
        </is>
      </c>
      <c r="K44" s="15" t="inlineStr">
        <is>
          <t>Apply ratios to real contexts: concrete mixing, salad dressing, paint colour mixing, golden ratio in design; investigate how First Nations Australians' knowledges inform pharmaceutical and toxin development.</t>
        </is>
      </c>
      <c r="L44" s="15" t="inlineStr">
        <is>
          <t>auto-marked + open-ended</t>
        </is>
      </c>
      <c r="M44" s="15" t="inlineStr">
        <is>
          <t>y7_num_17</t>
        </is>
      </c>
      <c r="N44" s="15" t="inlineStr">
        <is>
          <t>Published</t>
        </is>
      </c>
      <c r="O44" s="15" t="inlineStr">
        <is>
          <t>2026-05-21</t>
        </is>
      </c>
      <c r="P44" s="15" t="inlineStr">
        <is>
          <t>https://seager94.github.io/year-7/measurement/y7_mea_11_modelling_ratios_in_recipes_and_design_v2.html</t>
        </is>
      </c>
      <c r="Q44" s="15" t="inlineStr">
        <is>
          <t>M06 is the modelling-side companion to N08; ratio mechanics already covered in y7_num_16/17.</t>
        </is>
      </c>
    </row>
    <row r="45" ht="15" customHeight="1" s="16">
      <c r="A45" s="15" t="inlineStr">
        <is>
          <t>y7_spa_01</t>
        </is>
      </c>
      <c r="B45" s="15" t="n">
        <v>7</v>
      </c>
      <c r="C45" s="15" t="inlineStr">
        <is>
          <t>Space</t>
        </is>
      </c>
      <c r="D45" s="15" t="inlineStr">
        <is>
          <t>01</t>
        </is>
      </c>
      <c r="E45" s="15" t="inlineStr">
        <is>
          <t>two_dimensional_representations</t>
        </is>
      </c>
      <c r="F45" s="15" t="inlineStr">
        <is>
          <t>y7_spa_01_two_dimensional_representations.html</t>
        </is>
      </c>
      <c r="G45" s="15" t="inlineStr">
        <is>
          <t>AC9M7SP01</t>
        </is>
      </c>
      <c r="H45" s="15" t="inlineStr">
        <is>
          <t>1,3</t>
        </is>
      </c>
      <c r="I45" s="15" t="inlineStr">
        <is>
          <t>Strict</t>
        </is>
      </c>
      <c r="J45" s="15" t="inlineStr">
        <is>
          <t>Objects can be represented in two-dimensions in different ways</t>
        </is>
      </c>
      <c r="K45" s="15" t="inlineStr">
        <is>
          <t>Two dimensional representations</t>
        </is>
      </c>
      <c r="L45" s="15" t="inlineStr">
        <is>
          <t>auto-marked</t>
        </is>
      </c>
      <c r="N45" s="15" t="inlineStr">
        <is>
          <t>Published</t>
        </is>
      </c>
      <c r="P45" s="15" t="inlineStr">
        <is>
          <t>https://seager94.github.io/year-7/space/y7_spa_01_two_dimensional_representations.html</t>
        </is>
      </c>
      <c r="Q45" s="15" t="inlineStr">
        <is>
          <t>Reconciled from file meta 2026-05-30</t>
        </is>
      </c>
    </row>
    <row r="46" ht="15" customHeight="1" s="16">
      <c r="A46" s="15" t="inlineStr">
        <is>
          <t>y7_spa_02</t>
        </is>
      </c>
      <c r="B46" s="15" t="n">
        <v>7</v>
      </c>
      <c r="C46" s="15" t="inlineStr">
        <is>
          <t>Space</t>
        </is>
      </c>
      <c r="D46" s="15" t="inlineStr">
        <is>
          <t>02</t>
        </is>
      </c>
      <c r="E46" s="15" t="inlineStr">
        <is>
          <t>nets_of_solids</t>
        </is>
      </c>
      <c r="F46" s="15" t="inlineStr">
        <is>
          <t>y7_spa_02_nets_of_solids.html</t>
        </is>
      </c>
      <c r="G46" s="15" t="inlineStr">
        <is>
          <t>AC9M7SP01</t>
        </is>
      </c>
      <c r="H46" s="15" t="inlineStr">
        <is>
          <t>2</t>
        </is>
      </c>
      <c r="I46" s="15" t="inlineStr">
        <is>
          <t>Strict</t>
        </is>
      </c>
      <c r="J46" s="15" t="inlineStr">
        <is>
          <t>Objects can be represented in two-dimensions in different ways</t>
        </is>
      </c>
      <c r="K46" s="15" t="inlineStr">
        <is>
          <t>Nets of solids</t>
        </is>
      </c>
      <c r="L46" s="15" t="inlineStr">
        <is>
          <t>auto-marked</t>
        </is>
      </c>
      <c r="N46" s="15" t="inlineStr">
        <is>
          <t>Published</t>
        </is>
      </c>
      <c r="P46" s="15" t="inlineStr">
        <is>
          <t>https://seager94.github.io/year-7/space/y7_spa_02_nets_of_solids.html</t>
        </is>
      </c>
      <c r="Q46" s="15" t="inlineStr">
        <is>
          <t>Reconciled from file meta 2026-05-30</t>
        </is>
      </c>
    </row>
    <row r="47" ht="15" customHeight="1" s="16">
      <c r="A47" s="15" t="inlineStr">
        <is>
          <t>y7_spa_03</t>
        </is>
      </c>
      <c r="B47" s="15" t="n">
        <v>7</v>
      </c>
      <c r="C47" s="15" t="inlineStr">
        <is>
          <t>Space</t>
        </is>
      </c>
      <c r="D47" s="15" t="inlineStr">
        <is>
          <t>03</t>
        </is>
      </c>
      <c r="E47" s="15" t="inlineStr">
        <is>
          <t>isometric_and_orthographic_views</t>
        </is>
      </c>
      <c r="F47" s="15" t="inlineStr">
        <is>
          <t>y7_spa_03_isometric_and_orthographic_views.html</t>
        </is>
      </c>
      <c r="G47" s="15" t="inlineStr">
        <is>
          <t>AC9M7SP01</t>
        </is>
      </c>
      <c r="H47" s="15" t="inlineStr">
        <is>
          <t>4,5</t>
        </is>
      </c>
      <c r="I47" s="15" t="inlineStr">
        <is>
          <t>Strict</t>
        </is>
      </c>
      <c r="J47" s="15" t="inlineStr">
        <is>
          <t>Objects can be represented in two-dimensions in different ways</t>
        </is>
      </c>
      <c r="K47" s="15" t="inlineStr">
        <is>
          <t>Isometric and orthographic views</t>
        </is>
      </c>
      <c r="L47" s="15" t="inlineStr">
        <is>
          <t>auto-marked</t>
        </is>
      </c>
      <c r="N47" s="15" t="inlineStr">
        <is>
          <t>Published</t>
        </is>
      </c>
      <c r="P47" s="15" t="inlineStr">
        <is>
          <t>https://seager94.github.io/year-7/space/y7_spa_03_isometric_and_orthographic_views.html</t>
        </is>
      </c>
      <c r="Q47" s="15" t="inlineStr">
        <is>
          <t>Reconciled from file meta 2026-05-30</t>
        </is>
      </c>
    </row>
    <row r="48" ht="15" customHeight="1" s="16">
      <c r="A48" s="15" t="inlineStr">
        <is>
          <t>y7_spa_04</t>
        </is>
      </c>
      <c r="B48" s="15" t="n">
        <v>7</v>
      </c>
      <c r="C48" s="15" t="inlineStr">
        <is>
          <t>Space</t>
        </is>
      </c>
      <c r="D48" s="15" t="inlineStr">
        <is>
          <t>04</t>
        </is>
      </c>
      <c r="E48" s="15" t="inlineStr">
        <is>
          <t>classifying_triangles</t>
        </is>
      </c>
      <c r="F48" s="15" t="inlineStr">
        <is>
          <t>y7_spa_04_classifying_triangles.html</t>
        </is>
      </c>
      <c r="G48" s="15" t="inlineStr">
        <is>
          <t>AC9M7SP02</t>
        </is>
      </c>
      <c r="H48" s="15" t="inlineStr">
        <is>
          <t>2,3</t>
        </is>
      </c>
      <c r="I48" s="15" t="inlineStr">
        <is>
          <t>Strict</t>
        </is>
      </c>
      <c r="J48" s="15" t="inlineStr">
        <is>
          <t>Shapes can be classified and compared by their geometrical properties</t>
        </is>
      </c>
      <c r="K48" s="15" t="inlineStr">
        <is>
          <t>Classifying triangles</t>
        </is>
      </c>
      <c r="L48" s="15" t="inlineStr">
        <is>
          <t>auto-marked</t>
        </is>
      </c>
      <c r="N48" s="15" t="inlineStr">
        <is>
          <t>Published</t>
        </is>
      </c>
      <c r="P48" s="15" t="inlineStr">
        <is>
          <t>https://seager94.github.io/year-7/space/y7_spa_04_classifying_triangles.html</t>
        </is>
      </c>
      <c r="Q48" s="15" t="inlineStr">
        <is>
          <t>Reconciled from file meta 2026-05-30</t>
        </is>
      </c>
    </row>
    <row r="49" ht="15" customHeight="1" s="16">
      <c r="A49" s="15" t="inlineStr">
        <is>
          <t>y7_spa_05</t>
        </is>
      </c>
      <c r="B49" s="15" t="n">
        <v>7</v>
      </c>
      <c r="C49" s="15" t="inlineStr">
        <is>
          <t>Space</t>
        </is>
      </c>
      <c r="D49" s="15" t="inlineStr">
        <is>
          <t>05</t>
        </is>
      </c>
      <c r="E49" s="15" t="inlineStr">
        <is>
          <t>classifying_quadrilaterals</t>
        </is>
      </c>
      <c r="F49" s="15" t="inlineStr">
        <is>
          <t>y7_spa_05_classifying_quadrilaterals.html</t>
        </is>
      </c>
      <c r="G49" s="15" t="inlineStr">
        <is>
          <t>AC9M7SP02</t>
        </is>
      </c>
      <c r="H49" s="15" t="inlineStr">
        <is>
          <t>4</t>
        </is>
      </c>
      <c r="I49" s="15" t="inlineStr">
        <is>
          <t>Strict</t>
        </is>
      </c>
      <c r="J49" s="15" t="inlineStr">
        <is>
          <t>Shapes can be classified and compared by their geometrical properties</t>
        </is>
      </c>
      <c r="K49" s="15" t="inlineStr">
        <is>
          <t>Classifying quadrilaterals</t>
        </is>
      </c>
      <c r="L49" s="15" t="inlineStr">
        <is>
          <t>auto-marked</t>
        </is>
      </c>
      <c r="N49" s="15" t="inlineStr">
        <is>
          <t>Published</t>
        </is>
      </c>
      <c r="P49" s="15" t="inlineStr">
        <is>
          <t>https://seager94.github.io/year-7/space/y7_spa_05_classifying_quadrilaterals.html</t>
        </is>
      </c>
      <c r="Q49" s="15" t="inlineStr">
        <is>
          <t>Reconciled from file meta 2026-05-30</t>
        </is>
      </c>
    </row>
    <row r="50" ht="15" customHeight="1" s="16">
      <c r="A50" s="15" t="inlineStr">
        <is>
          <t>y7_spa_06</t>
        </is>
      </c>
      <c r="B50" s="15" t="n">
        <v>7</v>
      </c>
      <c r="C50" s="15" t="inlineStr">
        <is>
          <t>Space</t>
        </is>
      </c>
      <c r="D50" s="15" t="inlineStr">
        <is>
          <t>06</t>
        </is>
      </c>
      <c r="E50" s="15" t="inlineStr">
        <is>
          <t>rigidity_of_shapes</t>
        </is>
      </c>
      <c r="F50" s="15" t="inlineStr">
        <is>
          <t>y7_spa_06_rigidity_of_shapes.html</t>
        </is>
      </c>
      <c r="G50" s="15" t="inlineStr">
        <is>
          <t>AC9M7SP02</t>
        </is>
      </c>
      <c r="H50" s="15" t="inlineStr">
        <is>
          <t>1</t>
        </is>
      </c>
      <c r="I50" s="15" t="inlineStr">
        <is>
          <t>Strict</t>
        </is>
      </c>
      <c r="J50" s="15" t="inlineStr">
        <is>
          <t>Shapes can be classified and compared by their geometrical properties</t>
        </is>
      </c>
      <c r="K50" s="15" t="inlineStr">
        <is>
          <t>Rigidity of shapes</t>
        </is>
      </c>
      <c r="L50" s="15" t="inlineStr">
        <is>
          <t>auto-marked</t>
        </is>
      </c>
      <c r="N50" s="15" t="inlineStr">
        <is>
          <t>Published</t>
        </is>
      </c>
      <c r="P50" s="15" t="inlineStr">
        <is>
          <t>https://seager94.github.io/year-7/space/y7_spa_06_rigidity_of_shapes.html</t>
        </is>
      </c>
      <c r="Q50" s="15" t="inlineStr">
        <is>
          <t>Reconciled from file meta 2026-05-30</t>
        </is>
      </c>
    </row>
    <row r="51" ht="15" customHeight="1" s="16">
      <c r="A51" s="15" t="inlineStr">
        <is>
          <t>y7_spa_07</t>
        </is>
      </c>
      <c r="B51" s="15" t="n">
        <v>7</v>
      </c>
      <c r="C51" s="15" t="inlineStr">
        <is>
          <t>Space</t>
        </is>
      </c>
      <c r="D51" s="15" t="inlineStr">
        <is>
          <t>07</t>
        </is>
      </c>
      <c r="E51" s="15" t="inlineStr">
        <is>
          <t>classification_algorithms</t>
        </is>
      </c>
      <c r="F51" s="15" t="inlineStr">
        <is>
          <t>y7_spa_07_classification_algorithms.html</t>
        </is>
      </c>
      <c r="G51" s="15" t="inlineStr">
        <is>
          <t>AC9M7SP04</t>
        </is>
      </c>
      <c r="H51" s="15" t="inlineStr">
        <is>
          <t>1,2</t>
        </is>
      </c>
      <c r="I51" s="15" t="inlineStr">
        <is>
          <t>Strict</t>
        </is>
      </c>
      <c r="J51" s="15" t="inlineStr">
        <is>
          <t>Shapes can be classified and compared by their geometrical properties</t>
        </is>
      </c>
      <c r="K51" s="15" t="inlineStr">
        <is>
          <t>Classification algorithms</t>
        </is>
      </c>
      <c r="L51" s="15" t="inlineStr">
        <is>
          <t>strategy-MCQ</t>
        </is>
      </c>
      <c r="N51" s="15" t="inlineStr">
        <is>
          <t>Published</t>
        </is>
      </c>
      <c r="P51" s="15" t="inlineStr">
        <is>
          <t>https://seager94.github.io/year-7/space/y7_spa_07_classification_algorithms.html</t>
        </is>
      </c>
      <c r="Q51" s="15" t="inlineStr">
        <is>
          <t>Reconciled from file meta 2026-05-30</t>
        </is>
      </c>
    </row>
    <row r="52" ht="15" customHeight="1" s="16">
      <c r="A52" s="15" t="inlineStr">
        <is>
          <t>y7_spa_08</t>
        </is>
      </c>
      <c r="B52" s="15" t="n">
        <v>7</v>
      </c>
      <c r="C52" s="15" t="inlineStr">
        <is>
          <t>Space</t>
        </is>
      </c>
      <c r="D52" s="15" t="inlineStr">
        <is>
          <t>08</t>
        </is>
      </c>
      <c r="E52" s="15" t="inlineStr">
        <is>
          <t>translations_and_reflections_on_cartesian</t>
        </is>
      </c>
      <c r="F52" s="15" t="inlineStr">
        <is>
          <t>y7_spa_05_translations_and_reflections_on_cartesian_v2.html</t>
        </is>
      </c>
      <c r="G52" s="15" t="inlineStr">
        <is>
          <t>AC9M7SP03</t>
        </is>
      </c>
      <c r="H52" s="15" t="inlineStr">
        <is>
          <t>1,2</t>
        </is>
      </c>
      <c r="I52" s="15" t="inlineStr">
        <is>
          <t>Strict</t>
        </is>
      </c>
      <c r="J52" s="15" t="inlineStr">
        <is>
          <t>Geometrical transformations of points and 2-dimensional shapes can be represented on a Cartesian plane</t>
        </is>
      </c>
      <c r="K52" s="15" t="inlineStr">
        <is>
          <t>Translate points and shapes on the Cartesian plane by a vector; reflect across the x-axis and y-axis; record coordinates before and after; observe that two reflections can give a translation.</t>
        </is>
      </c>
      <c r="L52" s="15" t="inlineStr">
        <is>
          <t>auto-marked</t>
        </is>
      </c>
      <c r="M52" s="15" t="inlineStr">
        <is>
          <t>y7_alg_09</t>
        </is>
      </c>
      <c r="N52" s="15" t="inlineStr">
        <is>
          <t>Planned</t>
        </is>
      </c>
      <c r="Q52" s="15" t="inlineStr">
        <is>
          <t>Cross-strand prereq on alg_09 for Cartesian plane fluency. | deferred - needs transformation interactive component</t>
        </is>
      </c>
    </row>
    <row r="53" ht="15" customHeight="1" s="16">
      <c r="A53" s="15" t="inlineStr">
        <is>
          <t>y7_spa_09</t>
        </is>
      </c>
      <c r="B53" s="15" t="n">
        <v>7</v>
      </c>
      <c r="C53" s="15" t="inlineStr">
        <is>
          <t>Space</t>
        </is>
      </c>
      <c r="D53" s="15" t="inlineStr">
        <is>
          <t>09</t>
        </is>
      </c>
      <c r="E53" s="15" t="inlineStr">
        <is>
          <t>rotations_and_transformation_patterns</t>
        </is>
      </c>
      <c r="F53" s="15" t="inlineStr">
        <is>
          <t>y7_spa_06_rotations_and_transformation_patterns_v2.html</t>
        </is>
      </c>
      <c r="G53" s="15" t="inlineStr">
        <is>
          <t>AC9M7SP03</t>
        </is>
      </c>
      <c r="H53" s="15" t="inlineStr">
        <is>
          <t>1,3</t>
        </is>
      </c>
      <c r="I53" s="15" t="inlineStr">
        <is>
          <t>Strict</t>
        </is>
      </c>
      <c r="J53" s="15" t="inlineStr">
        <is>
          <t>Geometrical transformations of points and 2-dimensional shapes can be represented on a Cartesian plane</t>
        </is>
      </c>
      <c r="K53" s="15" t="inlineStr">
        <is>
          <t>Rotate shapes about a given point (90°, 180°, 270° clockwise/anticlockwise); combine translations, reflections and rotations to create patterns and tessellations.</t>
        </is>
      </c>
      <c r="L53" s="15" t="inlineStr">
        <is>
          <t>auto-marked</t>
        </is>
      </c>
      <c r="M53" s="15" t="inlineStr">
        <is>
          <t>y7_spa_05</t>
        </is>
      </c>
      <c r="N53" s="15" t="inlineStr">
        <is>
          <t>Planned</t>
        </is>
      </c>
      <c r="Q53" s="15" t="inlineStr">
        <is>
          <t>deferred - needs transformation interactive component</t>
        </is>
      </c>
    </row>
    <row r="54" ht="15" customHeight="1" s="16">
      <c r="A54" s="15" t="inlineStr">
        <is>
          <t>y7_sta_01</t>
        </is>
      </c>
      <c r="B54" s="15" t="n">
        <v>7</v>
      </c>
      <c r="C54" s="15" t="inlineStr">
        <is>
          <t>Statistics</t>
        </is>
      </c>
      <c r="D54" s="15" t="n">
        <v>1</v>
      </c>
      <c r="E54" s="15" t="inlineStr">
        <is>
          <t>calculating_mean_median_mode_range</t>
        </is>
      </c>
      <c r="F54" s="15" t="inlineStr">
        <is>
          <t>y7_sta_01_calculating_mean_median_mode_range_v2.html</t>
        </is>
      </c>
      <c r="G54" s="15" t="inlineStr">
        <is>
          <t>AC9M7ST01</t>
        </is>
      </c>
      <c r="H54" s="15" t="inlineStr">
        <is>
          <t>1,3</t>
        </is>
      </c>
      <c r="I54" s="15" t="inlineStr">
        <is>
          <t>Strict</t>
        </is>
      </c>
      <c r="J54" s="15" t="inlineStr">
        <is>
          <t>Variation in data can be measured and used to describe and compare data sets</t>
        </is>
      </c>
      <c r="K54" s="15" t="inlineStr">
        <is>
          <t>Calculate mean, median, mode and range from a list of values and from a dot plot; understand what each measure tells us about the data; recognise that different data sets can share the same measure of central tendency.</t>
        </is>
      </c>
      <c r="L54" s="15" t="inlineStr">
        <is>
          <t>auto-marked</t>
        </is>
      </c>
      <c r="M54" s="15" t="inlineStr">
        <is>
          <t>y7_num_10,y7_num_11</t>
        </is>
      </c>
      <c r="N54" s="15" t="inlineStr">
        <is>
          <t>Published</t>
        </is>
      </c>
      <c r="P54" s="15" t="inlineStr">
        <is>
          <t>https://seager94.github.io/year-7/statistics/y7_sta_01_calculating_mean_median_mode_range_v2.html</t>
        </is>
      </c>
      <c r="Q54" s="15" t="inlineStr">
        <is>
          <t>Status reconciled from repo 2026-05-30 (generated date unconfirmed)</t>
        </is>
      </c>
    </row>
    <row r="55" ht="15" customHeight="1" s="16">
      <c r="A55" s="15" t="inlineStr">
        <is>
          <t>y7_sta_02</t>
        </is>
      </c>
      <c r="B55" s="15" t="n">
        <v>7</v>
      </c>
      <c r="C55" s="15" t="inlineStr">
        <is>
          <t>Statistics</t>
        </is>
      </c>
      <c r="D55" s="15" t="n">
        <v>2</v>
      </c>
      <c r="E55" s="15" t="inlineStr">
        <is>
          <t>choosing_a_measure_of_central_tendency</t>
        </is>
      </c>
      <c r="F55" s="15" t="inlineStr">
        <is>
          <t>y7_sta_02_choosing_a_measure_of_central_tendency_v2.html</t>
        </is>
      </c>
      <c r="G55" s="15" t="inlineStr">
        <is>
          <t>AC9M7ST01</t>
        </is>
      </c>
      <c r="H55" s="15" t="inlineStr">
        <is>
          <t>2,4</t>
        </is>
      </c>
      <c r="I55" s="15" t="inlineStr">
        <is>
          <t>Strict</t>
        </is>
      </c>
      <c r="J55" s="15" t="inlineStr">
        <is>
          <t>Variation in data can be measured and used to describe and compare data sets</t>
        </is>
      </c>
      <c r="K55" s="15" t="inlineStr">
        <is>
          <t>Compare mean and median for skewed vs symmetric data; explain how outliers affect each summary statistic; choose mean or median to justify a claim; analyse continuous measurement data from a science experiment.</t>
        </is>
      </c>
      <c r="L55" s="15" t="inlineStr">
        <is>
          <t>auto-marked + open-ended</t>
        </is>
      </c>
      <c r="M55" s="15" t="inlineStr">
        <is>
          <t>y7_sta_01</t>
        </is>
      </c>
      <c r="N55" s="15" t="inlineStr">
        <is>
          <t>Published</t>
        </is>
      </c>
      <c r="P55" s="15" t="inlineStr">
        <is>
          <t>https://seager94.github.io/year-7/statistics/y7_sta_02_choosing_a_measure_of_central_tendency_v2.html</t>
        </is>
      </c>
      <c r="Q55" s="15" t="inlineStr">
        <is>
          <t>Status reconciled from repo 2026-05-30 (generated date unconfirmed)</t>
        </is>
      </c>
    </row>
    <row r="56" ht="15" customHeight="1" s="16">
      <c r="A56" s="15" t="inlineStr">
        <is>
          <t>y7_sta_03</t>
        </is>
      </c>
      <c r="B56" s="15" t="n">
        <v>7</v>
      </c>
      <c r="C56" s="15" t="inlineStr">
        <is>
          <t>Statistics</t>
        </is>
      </c>
      <c r="D56" s="15" t="n">
        <v>3</v>
      </c>
      <c r="E56" s="15" t="inlineStr">
        <is>
          <t>stem_and_leaf_plots</t>
        </is>
      </c>
      <c r="F56" s="15" t="inlineStr">
        <is>
          <t>y7_sta_03_stem_and_leaf_plots_v2.html</t>
        </is>
      </c>
      <c r="G56" s="15" t="inlineStr">
        <is>
          <t>AC9M7ST02</t>
        </is>
      </c>
      <c r="H56" s="15" t="inlineStr">
        <is>
          <t>1,2</t>
        </is>
      </c>
      <c r="I56" s="15" t="inlineStr">
        <is>
          <t>Strict</t>
        </is>
      </c>
      <c r="J56" s="15" t="inlineStr">
        <is>
          <t>Data can be organised and represented in different ways to inform, justify and persuade conclusions</t>
        </is>
      </c>
      <c r="K56" s="15" t="inlineStr">
        <is>
          <t>Construct ordered stem-and-leaf plots from a class data set (e.g. heights in cm); read the median, mode and range directly from the plot; build split stem-and-leaf plots to compare groups.</t>
        </is>
      </c>
      <c r="L56" s="15" t="inlineStr">
        <is>
          <t>auto-marked</t>
        </is>
      </c>
      <c r="M56" s="15" t="inlineStr">
        <is>
          <t>y7_sta_01</t>
        </is>
      </c>
      <c r="N56" s="15" t="inlineStr">
        <is>
          <t>Published</t>
        </is>
      </c>
      <c r="P56" s="15" t="inlineStr">
        <is>
          <t>https://seager94.github.io/year-7/statistics/y7_sta_03_stem_and_leaf_plots_v2.html</t>
        </is>
      </c>
      <c r="Q56" s="15" t="inlineStr">
        <is>
          <t>Status reconciled from repo 2026-05-30 (generated date unconfirmed)</t>
        </is>
      </c>
    </row>
    <row r="57" ht="15" customHeight="1" s="16">
      <c r="A57" s="15" t="inlineStr">
        <is>
          <t>y7_sta_04</t>
        </is>
      </c>
      <c r="B57" s="15" t="n">
        <v>7</v>
      </c>
      <c r="C57" s="15" t="inlineStr">
        <is>
          <t>Statistics</t>
        </is>
      </c>
      <c r="D57" s="15" t="n">
        <v>4</v>
      </c>
      <c r="E57" s="15" t="inlineStr">
        <is>
          <t>describing_distribution_shape</t>
        </is>
      </c>
      <c r="F57" s="15" t="inlineStr">
        <is>
          <t>y7_sta_04_describing_distribution_shape_v2.html</t>
        </is>
      </c>
      <c r="G57" s="15" t="inlineStr">
        <is>
          <t>AC9M7ST02</t>
        </is>
      </c>
      <c r="H57" s="15" t="inlineStr">
        <is>
          <t>3,4,5</t>
        </is>
      </c>
      <c r="I57" s="15" t="inlineStr">
        <is>
          <t>Strict</t>
        </is>
      </c>
      <c r="J57" s="15" t="inlineStr">
        <is>
          <t>Variation in data can be measured and used to describe and compare data sets</t>
        </is>
      </c>
      <c r="K57" s="15" t="inlineStr">
        <is>
          <t>Describe distribution shape using positive skew, negative skew, symmetric and bi-modal; locate the mean and median on each shape; identify outliers and explain their effect on the comparison of two data sets.</t>
        </is>
      </c>
      <c r="L57" s="15" t="inlineStr">
        <is>
          <t>auto-marked</t>
        </is>
      </c>
      <c r="M57" s="15" t="inlineStr">
        <is>
          <t>y7_sta_03</t>
        </is>
      </c>
      <c r="N57" s="15" t="inlineStr">
        <is>
          <t>Published</t>
        </is>
      </c>
      <c r="P57" s="15" t="inlineStr">
        <is>
          <t>https://seager94.github.io/year-7/statistics/y7_sta_04_describing_distribution_shape_v2.html</t>
        </is>
      </c>
      <c r="Q57" s="15" t="inlineStr">
        <is>
          <t>Status reconciled from repo 2026-05-30 (generated date unconfirmed)</t>
        </is>
      </c>
    </row>
    <row r="58" ht="15" customHeight="1" s="16">
      <c r="A58" s="15" t="inlineStr">
        <is>
          <t>y7_sta_05</t>
        </is>
      </c>
      <c r="B58" s="15" t="n">
        <v>7</v>
      </c>
      <c r="C58" s="15" t="inlineStr">
        <is>
          <t>Statistics</t>
        </is>
      </c>
      <c r="D58" s="15" t="n">
        <v>5</v>
      </c>
      <c r="E58" s="15" t="inlineStr">
        <is>
          <t>statistical_investigations</t>
        </is>
      </c>
      <c r="F58" s="15" t="inlineStr">
        <is>
          <t>y7_sta_05_statistical_investigations_v2.html</t>
        </is>
      </c>
      <c r="G58" s="15" t="inlineStr">
        <is>
          <t>AC9M7ST03</t>
        </is>
      </c>
      <c r="H58" s="15" t="inlineStr">
        <is>
          <t>1,2,3</t>
        </is>
      </c>
      <c r="I58" s="15" t="inlineStr">
        <is>
          <t>Strict</t>
        </is>
      </c>
      <c r="J58" s="15" t="inlineStr">
        <is>
          <t>Data can be organised and represented in different ways to inform, justify and persuade conclusions</t>
        </is>
      </c>
      <c r="K58" s="15"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s="15" t="inlineStr">
        <is>
          <t>auto-marked + open-ended</t>
        </is>
      </c>
      <c r="M58" s="15" t="inlineStr">
        <is>
          <t>y7_sta_02,y7_sta_04</t>
        </is>
      </c>
      <c r="N58" s="15" t="inlineStr">
        <is>
          <t>Published</t>
        </is>
      </c>
      <c r="P58" s="15" t="inlineStr">
        <is>
          <t>https://seager94.github.io/year-7/statistics/y7_sta_05_statistical_investigations_v2.html</t>
        </is>
      </c>
      <c r="Q58" s="15" t="inlineStr">
        <is>
          <t>Status reconciled from repo 2026-05-30 (generated date unconfirmed)</t>
        </is>
      </c>
    </row>
    <row r="59" ht="15" customHeight="1" s="16">
      <c r="A59" s="15" t="inlineStr">
        <is>
          <t>y7_prb_01</t>
        </is>
      </c>
      <c r="B59" s="15" t="n">
        <v>7</v>
      </c>
      <c r="C59" s="15" t="inlineStr">
        <is>
          <t>Probability</t>
        </is>
      </c>
      <c r="D59" s="15" t="inlineStr">
        <is>
          <t>01</t>
        </is>
      </c>
      <c r="E59" s="15" t="inlineStr">
        <is>
          <t>language_of_chance</t>
        </is>
      </c>
      <c r="F59" s="15" t="inlineStr">
        <is>
          <t>y7_prb_01_language_of_chance.html</t>
        </is>
      </c>
      <c r="G59" s="15" t="inlineStr">
        <is>
          <t>AC9M7P01</t>
        </is>
      </c>
      <c r="H59" s="15" t="inlineStr">
        <is>
          <t>1</t>
        </is>
      </c>
      <c r="I59" s="15" t="inlineStr">
        <is>
          <t>Strict</t>
        </is>
      </c>
      <c r="J59" s="15" t="inlineStr">
        <is>
          <t>Outcomes of events can be described and their likelihood can be measured</t>
        </is>
      </c>
      <c r="K59" s="15" t="inlineStr">
        <is>
          <t>Language of chance</t>
        </is>
      </c>
      <c r="L59" s="15" t="inlineStr">
        <is>
          <t>auto-marked</t>
        </is>
      </c>
      <c r="N59" s="15" t="inlineStr">
        <is>
          <t>Published</t>
        </is>
      </c>
      <c r="P59" s="15" t="inlineStr">
        <is>
          <t>https://seager94.github.io/year-7/probability/y7_prb_01_language_of_chance.html</t>
        </is>
      </c>
      <c r="Q59" s="15" t="inlineStr">
        <is>
          <t>Reconciled from file meta 2026-05-30</t>
        </is>
      </c>
    </row>
    <row r="60" ht="15" customHeight="1" s="16">
      <c r="A60" s="15" t="inlineStr">
        <is>
          <t>y7_prb_02</t>
        </is>
      </c>
      <c r="B60" s="15" t="n">
        <v>7</v>
      </c>
      <c r="C60" s="15" t="inlineStr">
        <is>
          <t>Probability</t>
        </is>
      </c>
      <c r="D60" s="15" t="inlineStr">
        <is>
          <t>02</t>
        </is>
      </c>
      <c r="E60" s="15" t="inlineStr">
        <is>
          <t>sample_spaces</t>
        </is>
      </c>
      <c r="F60" s="15" t="inlineStr">
        <is>
          <t>y7_prb_02_sample_spaces.html</t>
        </is>
      </c>
      <c r="G60" s="15" t="inlineStr">
        <is>
          <t>AC9M7P01</t>
        </is>
      </c>
      <c r="H60" s="15" t="inlineStr">
        <is>
          <t>2</t>
        </is>
      </c>
      <c r="I60" s="15" t="inlineStr">
        <is>
          <t>Strict</t>
        </is>
      </c>
      <c r="J60" s="15" t="inlineStr">
        <is>
          <t>Outcomes of events can be described and their likelihood can be measured</t>
        </is>
      </c>
      <c r="K60" s="15" t="inlineStr">
        <is>
          <t>Sample spaces</t>
        </is>
      </c>
      <c r="L60" s="15" t="inlineStr">
        <is>
          <t>auto-marked</t>
        </is>
      </c>
      <c r="N60" s="15" t="inlineStr">
        <is>
          <t>Published</t>
        </is>
      </c>
      <c r="P60" s="15" t="inlineStr">
        <is>
          <t>https://seager94.github.io/year-7/probability/y7_prb_02_sample_spaces.html</t>
        </is>
      </c>
      <c r="Q60" s="15" t="inlineStr">
        <is>
          <t>Reconciled from file meta 2026-05-30</t>
        </is>
      </c>
    </row>
    <row r="61" ht="15" customHeight="1" s="16">
      <c r="A61" s="15" t="inlineStr">
        <is>
          <t>y7_prb_03</t>
        </is>
      </c>
      <c r="B61" s="15" t="n">
        <v>7</v>
      </c>
      <c r="C61" s="15" t="inlineStr">
        <is>
          <t>Probability</t>
        </is>
      </c>
      <c r="D61" s="15" t="inlineStr">
        <is>
          <t>03</t>
        </is>
      </c>
      <c r="E61" s="15" t="inlineStr">
        <is>
          <t>assigning_probabilities</t>
        </is>
      </c>
      <c r="F61" s="15" t="inlineStr">
        <is>
          <t>y7_prb_03_assigning_probabilities.html</t>
        </is>
      </c>
      <c r="G61" s="15" t="inlineStr">
        <is>
          <t>AC9M7P01</t>
        </is>
      </c>
      <c r="H61" s="15" t="inlineStr">
        <is>
          <t>3</t>
        </is>
      </c>
      <c r="I61" s="15" t="inlineStr">
        <is>
          <t>Strict</t>
        </is>
      </c>
      <c r="J61" s="15" t="inlineStr">
        <is>
          <t>Outcomes of events can be described and their likelihood can be measured</t>
        </is>
      </c>
      <c r="K61" s="15" t="inlineStr">
        <is>
          <t>Assigning probabilities</t>
        </is>
      </c>
      <c r="L61" s="15" t="inlineStr">
        <is>
          <t>auto-marked</t>
        </is>
      </c>
      <c r="N61" s="15" t="inlineStr">
        <is>
          <t>Published</t>
        </is>
      </c>
      <c r="P61" s="15" t="inlineStr">
        <is>
          <t>https://seager94.github.io/year-7/probability/y7_prb_03_assigning_probabilities.html</t>
        </is>
      </c>
      <c r="Q61" s="15" t="inlineStr">
        <is>
          <t>Reconciled from file meta 2026-05-30</t>
        </is>
      </c>
    </row>
    <row r="62" ht="15" customHeight="1" s="16">
      <c r="A62" s="15" t="inlineStr">
        <is>
          <t>y7_prb_04</t>
        </is>
      </c>
      <c r="B62" s="15" t="n">
        <v>7</v>
      </c>
      <c r="C62" s="15" t="inlineStr">
        <is>
          <t>Probability</t>
        </is>
      </c>
      <c r="D62" s="15" t="inlineStr">
        <is>
          <t>04</t>
        </is>
      </c>
      <c r="E62" s="15" t="inlineStr">
        <is>
          <t>experiments_and_simulations</t>
        </is>
      </c>
      <c r="F62" s="15" t="inlineStr">
        <is>
          <t>y7_prb_04_experiments_and_simulations.html</t>
        </is>
      </c>
      <c r="G62" s="15" t="inlineStr">
        <is>
          <t>AC9M7P02</t>
        </is>
      </c>
      <c r="H62" s="15" t="inlineStr">
        <is>
          <t>1,2</t>
        </is>
      </c>
      <c r="I62" s="15" t="inlineStr">
        <is>
          <t>Strict</t>
        </is>
      </c>
      <c r="J62" s="15" t="inlineStr">
        <is>
          <t>Theoretical probabilities can predict relative frequencies of experimental data</t>
        </is>
      </c>
      <c r="K62" s="15" t="inlineStr">
        <is>
          <t>Experiments and simulations</t>
        </is>
      </c>
      <c r="L62" s="15" t="inlineStr">
        <is>
          <t>auto-marked + open-ended</t>
        </is>
      </c>
      <c r="N62" s="15" t="inlineStr">
        <is>
          <t>Published</t>
        </is>
      </c>
      <c r="P62" s="15" t="inlineStr">
        <is>
          <t>https://seager94.github.io/year-7/probability/y7_prb_04_experiments_and_simulations.html</t>
        </is>
      </c>
      <c r="Q62" s="15" t="inlineStr">
        <is>
          <t>Reconciled from file meta 2026-05-30</t>
        </is>
      </c>
    </row>
    <row r="63" ht="15" customHeight="1" s="16">
      <c r="A63" s="15" t="inlineStr">
        <is>
          <t>y8_num_01</t>
        </is>
      </c>
      <c r="B63" s="15" t="n">
        <v>8</v>
      </c>
      <c r="C63" s="15" t="inlineStr">
        <is>
          <t>Number</t>
        </is>
      </c>
      <c r="D63" s="15" t="n">
        <v>1</v>
      </c>
      <c r="E63" s="15" t="inlineStr">
        <is>
          <t>introducing_irrationals_and_real_number_system</t>
        </is>
      </c>
      <c r="F63" s="15" t="inlineStr">
        <is>
          <t>y8_num_01_introducing_irrationals_and_real_number_system_v2.html</t>
        </is>
      </c>
      <c r="G63" s="15" t="inlineStr">
        <is>
          <t>AC9M8N01</t>
        </is>
      </c>
      <c r="H63" s="15" t="inlineStr">
        <is>
          <t>1,4</t>
        </is>
      </c>
      <c r="I63" s="15" t="inlineStr">
        <is>
          <t>Strict</t>
        </is>
      </c>
      <c r="J63" s="15" t="inlineStr">
        <is>
          <t>Rational and irrational numbers can be expressed and represented in different forms depending on context and purpose</t>
        </is>
      </c>
      <c r="K63" s="15" t="inlineStr">
        <is>
          <t>Distinguish rational from irrational numbers; introduce π and √2 as familiar examples; locate irrational numbers on the real number line between consecutive rationals (e.g. 3.141 &lt; π &lt; 3.142); connect the constant ratio C÷d to π.</t>
        </is>
      </c>
      <c r="L63" s="15" t="inlineStr">
        <is>
          <t>auto-marked</t>
        </is>
      </c>
      <c r="N63" s="15" t="inlineStr">
        <is>
          <t>Published</t>
        </is>
      </c>
      <c r="P63" s="15" t="inlineStr">
        <is>
          <t>https://seager94.github.io/year-8/number/y8_num_01_introducing_irrationals_and_real_number_system_v2.html</t>
        </is>
      </c>
      <c r="Q63" s="15" t="inlineStr">
        <is>
          <t>Status reconciled from repo 2026-05-30 (generated date unconfirmed)</t>
        </is>
      </c>
    </row>
    <row r="64" ht="15" customHeight="1" s="16">
      <c r="A64" s="15" t="inlineStr">
        <is>
          <t>y8_num_02</t>
        </is>
      </c>
      <c r="B64" s="15" t="n">
        <v>8</v>
      </c>
      <c r="C64" s="15" t="inlineStr">
        <is>
          <t>Number</t>
        </is>
      </c>
      <c r="D64" s="15" t="n">
        <v>2</v>
      </c>
      <c r="E64" s="15" t="inlineStr">
        <is>
          <t>irrationals_in_context</t>
        </is>
      </c>
      <c r="F64" s="15" t="inlineStr">
        <is>
          <t>y8_num_02_irrationals_in_context_v2.html</t>
        </is>
      </c>
      <c r="G64" s="15" t="inlineStr">
        <is>
          <t>AC9M8N01</t>
        </is>
      </c>
      <c r="H64" s="15" t="inlineStr">
        <is>
          <t>2,3</t>
        </is>
      </c>
      <c r="I64" s="15" t="inlineStr">
        <is>
          <t>Strict</t>
        </is>
      </c>
      <c r="J64" s="15" t="inlineStr">
        <is>
          <t>Rational and irrational numbers can be expressed and represented in different forms depending on context and purpose</t>
        </is>
      </c>
      <c r="K64" s="15" t="inlineStr">
        <is>
          <t>Encounter irrationals through measurement — diagonal of a unit square, hypotenuse from a known area, ratios of A0/A1/A2/A3/A4 paper sizes, golden ratio in art and design; historical approximations of π across cultures.</t>
        </is>
      </c>
      <c r="L64" s="15" t="inlineStr">
        <is>
          <t>auto-marked + open-ended</t>
        </is>
      </c>
      <c r="M64" s="15" t="inlineStr">
        <is>
          <t>y8_num_01</t>
        </is>
      </c>
      <c r="N64" s="15" t="inlineStr">
        <is>
          <t>Published</t>
        </is>
      </c>
      <c r="P64" s="15" t="inlineStr">
        <is>
          <t>https://seager94.github.io/year-8/number/y8_num_02_irrationals_in_context_v2.html</t>
        </is>
      </c>
      <c r="Q64" s="15" t="inlineStr">
        <is>
          <t>Status reconciled from repo 2026-05-30 (generated date unconfirmed)</t>
        </is>
      </c>
    </row>
    <row r="65" ht="15" customHeight="1" s="16">
      <c r="A65" s="15" t="inlineStr">
        <is>
          <t>y8_num_03</t>
        </is>
      </c>
      <c r="B65" s="15" t="n">
        <v>8</v>
      </c>
      <c r="C65" s="15" t="inlineStr">
        <is>
          <t>Number</t>
        </is>
      </c>
      <c r="D65" s="15" t="n">
        <v>3</v>
      </c>
      <c r="E65" s="15" t="inlineStr">
        <is>
          <t>product_and_quotient_laws_of_exponents</t>
        </is>
      </c>
      <c r="F65" s="15" t="inlineStr">
        <is>
          <t>y8_num_03_product_and_quotient_laws_of_exponents_v2.html</t>
        </is>
      </c>
      <c r="G65" s="15" t="inlineStr">
        <is>
          <t>AC9M8N02</t>
        </is>
      </c>
      <c r="H65" s="15" t="inlineStr">
        <is>
          <t>1,3</t>
        </is>
      </c>
      <c r="I65" s="15" t="inlineStr">
        <is>
          <t>Strict</t>
        </is>
      </c>
      <c r="J65" s="15" t="inlineStr">
        <is>
          <t>Exponential laws describe patterns in operations involving exponential notation enabling efficient calculations</t>
        </is>
      </c>
      <c r="K65" s="15" t="inlineStr">
        <is>
          <t>Build the product rule aᵐ × aⁿ = aᵐ⁺ⁿ and quotient rule aᵐ ÷ aⁿ = aᵐ⁻ⁿ from expanded form; apply with positive integer exponents; emphasise that bases must match.</t>
        </is>
      </c>
      <c r="L65" s="15" t="inlineStr">
        <is>
          <t>auto-marked</t>
        </is>
      </c>
      <c r="N65" s="15" t="inlineStr">
        <is>
          <t>Published</t>
        </is>
      </c>
      <c r="P65" s="15" t="inlineStr">
        <is>
          <t>https://seager94.github.io/year-8/number/y8_num_03_product_and_quotient_laws_of_exponents_v2.html</t>
        </is>
      </c>
      <c r="Q65" s="15" t="inlineStr">
        <is>
          <t>Status reconciled from repo 2026-05-30 (generated date unconfirmed)</t>
        </is>
      </c>
    </row>
    <row r="66" ht="15" customHeight="1" s="16">
      <c r="A66" s="15" t="inlineStr">
        <is>
          <t>y8_num_04</t>
        </is>
      </c>
      <c r="B66" s="15" t="n">
        <v>8</v>
      </c>
      <c r="C66" s="15" t="inlineStr">
        <is>
          <t>Number</t>
        </is>
      </c>
      <c r="D66" s="15" t="n">
        <v>4</v>
      </c>
      <c r="E66" s="15" t="inlineStr">
        <is>
          <t>power_of_a_power_and_zero_exponent</t>
        </is>
      </c>
      <c r="F66" s="15" t="inlineStr">
        <is>
          <t>y8_num_04_power_of_a_power_and_zero_exponent_v2.html</t>
        </is>
      </c>
      <c r="G66" s="15" t="inlineStr">
        <is>
          <t>AC9M8N02</t>
        </is>
      </c>
      <c r="H66" s="15" t="inlineStr">
        <is>
          <t>1,4</t>
        </is>
      </c>
      <c r="I66" s="15" t="inlineStr">
        <is>
          <t>Strict</t>
        </is>
      </c>
      <c r="J66" s="15" t="inlineStr">
        <is>
          <t>Exponential laws describe patterns in operations involving exponential notation enabling efficient calculations</t>
        </is>
      </c>
      <c r="K66" s="15" t="inlineStr">
        <is>
          <t>Derive (aᵐ)ⁿ = aᵐ×ⁿ from expanded form; justify a⁰ = 1 using the quotient law (3⁴/3⁴ = 1 = 3⁰); build fluency with the four exponent laws so far.</t>
        </is>
      </c>
      <c r="L66" s="15" t="inlineStr">
        <is>
          <t>auto-marked</t>
        </is>
      </c>
      <c r="M66" s="15" t="inlineStr">
        <is>
          <t>y8_num_03</t>
        </is>
      </c>
      <c r="N66" s="15" t="inlineStr">
        <is>
          <t>Published</t>
        </is>
      </c>
      <c r="P66" s="15" t="inlineStr">
        <is>
          <t>https://seager94.github.io/year-8/number/y8_num_04_power_of_a_power_and_zero_exponent_v2.html</t>
        </is>
      </c>
      <c r="Q66" s="15" t="inlineStr">
        <is>
          <t>Status reconciled from repo 2026-05-30 (generated date unconfirmed)</t>
        </is>
      </c>
    </row>
    <row r="67" ht="15" customHeight="1" s="16">
      <c r="A67" s="15" t="inlineStr">
        <is>
          <t>y8_num_05</t>
        </is>
      </c>
      <c r="B67" s="15" t="n">
        <v>8</v>
      </c>
      <c r="C67" s="15" t="inlineStr">
        <is>
          <t>Number</t>
        </is>
      </c>
      <c r="D67" s="15" t="n">
        <v>5</v>
      </c>
      <c r="E67" s="15" t="inlineStr">
        <is>
          <t>combining_exponent_laws</t>
        </is>
      </c>
      <c r="F67" s="15" t="inlineStr">
        <is>
          <t>y8_num_05_combining_exponent_laws_v2.html</t>
        </is>
      </c>
      <c r="G67" s="15" t="inlineStr">
        <is>
          <t>AC9M8N02</t>
        </is>
      </c>
      <c r="H67" s="15" t="inlineStr">
        <is>
          <t>2,3</t>
        </is>
      </c>
      <c r="I67" s="15" t="inlineStr">
        <is>
          <t>Strict</t>
        </is>
      </c>
      <c r="J67" s="15" t="inlineStr">
        <is>
          <t>Exponential laws describe patterns in operations involving exponential notation enabling efficient calculations</t>
        </is>
      </c>
      <c r="K67" s="15" t="inlineStr">
        <is>
          <t>Apply multiple exponent laws in succession; cube-enlargement context (2 cm cube to 6 cm cube, volume increases by factor 27 = 3³); check that bases match before combining.</t>
        </is>
      </c>
      <c r="L67" s="15" t="inlineStr">
        <is>
          <t>auto-marked</t>
        </is>
      </c>
      <c r="M67" s="15" t="inlineStr">
        <is>
          <t>y8_num_03,y8_num_04</t>
        </is>
      </c>
      <c r="N67" s="15" t="inlineStr">
        <is>
          <t>Published</t>
        </is>
      </c>
      <c r="P67" s="15" t="inlineStr">
        <is>
          <t>https://seager94.github.io/year-8/number/y8_num_05_combining_exponent_laws_v2.html</t>
        </is>
      </c>
      <c r="Q67" s="15" t="inlineStr">
        <is>
          <t>Status reconciled from repo 2026-05-30 (generated date unconfirmed)</t>
        </is>
      </c>
    </row>
    <row r="68" ht="15" customHeight="1" s="16">
      <c r="A68" s="15" t="inlineStr">
        <is>
          <t>y8_num_06</t>
        </is>
      </c>
      <c r="B68" s="15" t="n">
        <v>8</v>
      </c>
      <c r="C68" s="15" t="inlineStr">
        <is>
          <t>Number</t>
        </is>
      </c>
      <c r="D68" s="15" t="n">
        <v>6</v>
      </c>
      <c r="E68" s="15" t="inlineStr">
        <is>
          <t>terminating_and_recurring_decimals</t>
        </is>
      </c>
      <c r="F68" s="15" t="inlineStr">
        <is>
          <t>y8_num_06_terminating_and_recurring_decimals_v2.html</t>
        </is>
      </c>
      <c r="G68" s="15" t="inlineStr">
        <is>
          <t>AC9M8N03</t>
        </is>
      </c>
      <c r="H68" s="15" t="inlineStr">
        <is>
          <t>1,2</t>
        </is>
      </c>
      <c r="I68" s="15" t="inlineStr">
        <is>
          <t>Strict</t>
        </is>
      </c>
      <c r="J68" s="15" t="inlineStr">
        <is>
          <t>Rational and irrational numbers can be expressed and represented in different forms depending on context and purpose</t>
        </is>
      </c>
      <c r="K68" s="15" t="inlineStr">
        <is>
          <t>Convert fractions to decimal forms; predict terminating vs recurring from the prime factorisation of the denominator (only 2s and 5s gives terminating); use dot notation for recurring decimals.</t>
        </is>
      </c>
      <c r="L68" s="15" t="inlineStr">
        <is>
          <t>auto-marked</t>
        </is>
      </c>
      <c r="M68" s="15" t="inlineStr">
        <is>
          <t>y8_num_03</t>
        </is>
      </c>
      <c r="N68" s="15" t="inlineStr">
        <is>
          <t>Published</t>
        </is>
      </c>
      <c r="P68" s="15" t="inlineStr">
        <is>
          <t>https://seager94.github.io/year-8/number/y8_num_06_terminating_and_recurring_decimals_v2.html</t>
        </is>
      </c>
      <c r="Q68" s="15" t="inlineStr">
        <is>
          <t>Status reconciled from repo 2026-05-30 (generated date unconfirmed)</t>
        </is>
      </c>
    </row>
    <row r="69" ht="15" customHeight="1" s="16">
      <c r="A69" s="15" t="inlineStr">
        <is>
          <t>y8_num_07</t>
        </is>
      </c>
      <c r="B69" s="15" t="n">
        <v>8</v>
      </c>
      <c r="C69" s="15" t="inlineStr">
        <is>
          <t>Number</t>
        </is>
      </c>
      <c r="D69" s="15" t="n">
        <v>7</v>
      </c>
      <c r="E69" s="15" t="inlineStr">
        <is>
          <t>multiplying_and_dividing_integers</t>
        </is>
      </c>
      <c r="F69" s="15" t="inlineStr">
        <is>
          <t>y8_num_07_multiplying_and_dividing_integers_v2.html</t>
        </is>
      </c>
      <c r="G69" s="15" t="inlineStr">
        <is>
          <t>AC9M8N04</t>
        </is>
      </c>
      <c r="H69" s="15" t="inlineStr">
        <is>
          <t>1,3</t>
        </is>
      </c>
      <c r="I69" s="15" t="inlineStr">
        <is>
          <t>Strict</t>
        </is>
      </c>
      <c r="J69" s="15" t="inlineStr">
        <is>
          <t>Rational and irrational numbers can be expressed and represented in different forms depending on context and purpose</t>
        </is>
      </c>
      <c r="K69" s="15" t="inlineStr">
        <is>
          <t>Establish sign rules for multiplication and division of integers using patterns; calculate products and quotients of signed integers; recognise the effect of sign in (-1)ⁿ.</t>
        </is>
      </c>
      <c r="L69" s="15" t="inlineStr">
        <is>
          <t>auto-marked</t>
        </is>
      </c>
      <c r="N69" s="15" t="inlineStr">
        <is>
          <t>Published</t>
        </is>
      </c>
      <c r="P69" s="15" t="inlineStr">
        <is>
          <t>https://seager94.github.io/year-8/number/y8_num_07_multiplying_and_dividing_integers_v2.html</t>
        </is>
      </c>
      <c r="Q69" s="15" t="inlineStr">
        <is>
          <t>Status reconciled from repo 2026-05-30 (generated date unconfirmed)</t>
        </is>
      </c>
    </row>
    <row r="70" ht="15" customHeight="1" s="16">
      <c r="A70" s="15" t="inlineStr">
        <is>
          <t>y8_num_08</t>
        </is>
      </c>
      <c r="B70" s="15" t="n">
        <v>8</v>
      </c>
      <c r="C70" s="15" t="inlineStr">
        <is>
          <t>Number</t>
        </is>
      </c>
      <c r="D70" s="15" t="n">
        <v>8</v>
      </c>
      <c r="E70" s="15" t="inlineStr">
        <is>
          <t>operations_with_rational_numbers</t>
        </is>
      </c>
      <c r="F70" s="15" t="inlineStr">
        <is>
          <t>y8_num_08_operations_with_rational_numbers_v2.html</t>
        </is>
      </c>
      <c r="G70" s="15" t="inlineStr">
        <is>
          <t>AC9M8N04</t>
        </is>
      </c>
      <c r="H70" s="15" t="inlineStr">
        <is>
          <t>2</t>
        </is>
      </c>
      <c r="I70" s="15" t="inlineStr">
        <is>
          <t>Strict</t>
        </is>
      </c>
      <c r="J70" s="15" t="inlineStr">
        <is>
          <t>Rational and irrational numbers can be expressed and represented in different forms depending on context and purpose</t>
        </is>
      </c>
      <c r="K70" s="15" t="inlineStr">
        <is>
          <t>Combine all four operations with positive and negative fractions and decimals; use commutative/associative regrouping for efficient calculation; flexible choice between fraction and decimal forms.</t>
        </is>
      </c>
      <c r="L70" s="15" t="inlineStr">
        <is>
          <t>auto-marked</t>
        </is>
      </c>
      <c r="M70" s="15" t="inlineStr">
        <is>
          <t>y8_num_07</t>
        </is>
      </c>
      <c r="N70" s="15" t="inlineStr">
        <is>
          <t>Published</t>
        </is>
      </c>
      <c r="P70" s="15" t="inlineStr">
        <is>
          <t>https://seager94.github.io/year-8/number/y8_num_08_operations_with_rational_numbers_v2.html</t>
        </is>
      </c>
      <c r="Q70" s="15" t="inlineStr">
        <is>
          <t>Status reconciled from repo 2026-05-30 (generated date unconfirmed)</t>
        </is>
      </c>
    </row>
    <row r="71" ht="15" customHeight="1" s="16">
      <c r="A71" s="15" t="inlineStr">
        <is>
          <t>y8_num_09</t>
        </is>
      </c>
      <c r="B71" s="15" t="n">
        <v>8</v>
      </c>
      <c r="C71" s="15" t="inlineStr">
        <is>
          <t>Number</t>
        </is>
      </c>
      <c r="D71" s="15" t="n">
        <v>9</v>
      </c>
      <c r="E71" s="15" t="inlineStr">
        <is>
          <t>percentage_increase_and_decrease</t>
        </is>
      </c>
      <c r="F71" s="15" t="inlineStr">
        <is>
          <t>y8_num_09_percentage_increase_and_decrease_v2.html</t>
        </is>
      </c>
      <c r="G71" s="15" t="inlineStr">
        <is>
          <t>AC9M8N05</t>
        </is>
      </c>
      <c r="H71" s="15" t="inlineStr">
        <is>
          <t>2,4</t>
        </is>
      </c>
      <c r="I71" s="15" t="inlineStr">
        <is>
          <t>Strict</t>
        </is>
      </c>
      <c r="J71" s="15" t="inlineStr">
        <is>
          <t>Mathematical modelling can be used to represent and solve practical problems, including in financial contexts, using rational numbers and percentages</t>
        </is>
      </c>
      <c r="K71" s="15" t="inlineStr">
        <is>
          <t>Calculate mark-ups, discounts and GST as percentage change; one-step multiplier method (×1.10 for 10% up); apply to multi-period contexts such as market trends, population change and recycling rates.</t>
        </is>
      </c>
      <c r="L71" s="15" t="inlineStr">
        <is>
          <t>auto-marked</t>
        </is>
      </c>
      <c r="N71" s="15" t="inlineStr">
        <is>
          <t>Published</t>
        </is>
      </c>
      <c r="P71" s="15" t="inlineStr">
        <is>
          <t>https://seager94.github.io/year-8/number/y8_num_09_percentage_increase_and_decrease_v2.html</t>
        </is>
      </c>
      <c r="Q71" s="15" t="inlineStr">
        <is>
          <t>Status reconciled from repo 2026-05-30 (generated date unconfirmed)</t>
        </is>
      </c>
    </row>
    <row r="72" ht="15" customHeight="1" s="16">
      <c r="A72" s="15" t="inlineStr">
        <is>
          <t>y8_num_10</t>
        </is>
      </c>
      <c r="B72" s="15" t="n">
        <v>8</v>
      </c>
      <c r="C72" s="15" t="inlineStr">
        <is>
          <t>Number</t>
        </is>
      </c>
      <c r="D72" s="15" t="n">
        <v>10</v>
      </c>
      <c r="E72" s="15" t="inlineStr">
        <is>
          <t>modelling_with_signed_rationals</t>
        </is>
      </c>
      <c r="F72" s="15" t="inlineStr">
        <is>
          <t>y8_num_10_modelling_with_signed_rationals_v2.html</t>
        </is>
      </c>
      <c r="G72" s="15" t="inlineStr">
        <is>
          <t>AC9M8N05</t>
        </is>
      </c>
      <c r="H72" s="15" t="inlineStr">
        <is>
          <t>1</t>
        </is>
      </c>
      <c r="I72" s="15" t="inlineStr">
        <is>
          <t>Strict</t>
        </is>
      </c>
      <c r="J72" s="15" t="inlineStr">
        <is>
          <t>Mathematical modelling can be used to represent and solve practical problems, including in financial contexts, using rational numbers and percentages</t>
        </is>
      </c>
      <c r="K72" s="15" t="inlineStr">
        <is>
          <t>Model real contexts using positive and negative rational quantities — daily temperature changes, sea depths and altitudes, average-temperature differences across seasons.</t>
        </is>
      </c>
      <c r="L72" s="15" t="inlineStr">
        <is>
          <t>auto-marked + open-ended</t>
        </is>
      </c>
      <c r="M72" s="15" t="inlineStr">
        <is>
          <t>y8_num_07,y8_num_08</t>
        </is>
      </c>
      <c r="N72" s="15" t="inlineStr">
        <is>
          <t>Published</t>
        </is>
      </c>
      <c r="P72" s="15" t="inlineStr">
        <is>
          <t>https://seager94.github.io/year-8/number/y8_num_10_modelling_with_signed_rationals_v2.html</t>
        </is>
      </c>
      <c r="Q72" s="15" t="inlineStr">
        <is>
          <t>Status reconciled from repo 2026-05-30 (generated date unconfirmed)</t>
        </is>
      </c>
    </row>
    <row r="73" ht="15" customHeight="1" s="16">
      <c r="A73" s="15" t="inlineStr">
        <is>
          <t>y8_num_11</t>
        </is>
      </c>
      <c r="B73" s="15" t="n">
        <v>8</v>
      </c>
      <c r="C73" s="15" t="inlineStr">
        <is>
          <t>Number</t>
        </is>
      </c>
      <c r="D73" s="15" t="n">
        <v>11</v>
      </c>
      <c r="E73" s="15" t="inlineStr">
        <is>
          <t>financial_modelling_income_tax</t>
        </is>
      </c>
      <c r="F73" s="15" t="inlineStr">
        <is>
          <t>y8_num_11_financial_modelling_income_tax_v2.html</t>
        </is>
      </c>
      <c r="G73" s="15" t="inlineStr">
        <is>
          <t>AC9M8N05, AC9M8M05</t>
        </is>
      </c>
      <c r="H73" s="15" t="inlineStr">
        <is>
          <t>3 (N05); 4 (M05)</t>
        </is>
      </c>
      <c r="I73" s="15" t="inlineStr">
        <is>
          <t>Strict + cross-tag</t>
        </is>
      </c>
      <c r="J73" s="15" t="inlineStr">
        <is>
          <t>Mathematical modelling can be used to represent and solve practical problems, including in financial contexts, using rational numbers and percentages</t>
        </is>
      </c>
      <c r="K73" s="15" t="inlineStr">
        <is>
          <t>Use marginal tax tables to compute personal income tax at various income levels; calculate the overall percentage of income paid as tax; compare effective tax rates across incomes.</t>
        </is>
      </c>
      <c r="L73" s="15" t="inlineStr">
        <is>
          <t>auto-marked + open-ended</t>
        </is>
      </c>
      <c r="M73" s="15" t="inlineStr">
        <is>
          <t>y8_num_09</t>
        </is>
      </c>
      <c r="N73" s="15" t="inlineStr">
        <is>
          <t>Published</t>
        </is>
      </c>
      <c r="P73" s="15" t="inlineStr">
        <is>
          <t>https://seager94.github.io/year-8/number/y8_num_11_financial_modelling_income_tax_v2.html</t>
        </is>
      </c>
      <c r="Q73" s="15" t="inlineStr">
        <is>
          <t>Status reconciled from repo 2026-05-30 (generated date unconfirmed)</t>
        </is>
      </c>
    </row>
    <row r="74" ht="15" customHeight="1" s="16">
      <c r="A74" s="15" t="inlineStr">
        <is>
          <t>y8_alg_01</t>
        </is>
      </c>
      <c r="B74" s="15" t="n">
        <v>8</v>
      </c>
      <c r="C74" s="15" t="inlineStr">
        <is>
          <t>Algebra</t>
        </is>
      </c>
      <c r="D74" s="15" t="n">
        <v>1</v>
      </c>
      <c r="E74" s="15" t="inlineStr">
        <is>
          <t>collecting_like_terms</t>
        </is>
      </c>
      <c r="F74" s="15" t="inlineStr">
        <is>
          <t>y8_alg_01_collecting_like_terms_v2.html</t>
        </is>
      </c>
      <c r="G74" s="15" t="inlineStr">
        <is>
          <t>AC9M8A01</t>
        </is>
      </c>
      <c r="H74" s="15" t="inlineStr">
        <is>
          <t>1,3</t>
        </is>
      </c>
      <c r="I74" s="15" t="inlineStr">
        <is>
          <t>Strict</t>
        </is>
      </c>
      <c r="J74" s="15" t="inlineStr">
        <is>
          <t>Equivalent algebraic expressions and solutions to equations can be determined by applying properties of mathematical operations and numbers</t>
        </is>
      </c>
      <c r="K74" s="15" t="inlineStr">
        <is>
          <t>Simplify expressions by collecting like terms with integer coefficients, including multi-variable expressions like 5m + 10n + 3m − 4n; use algebra tiles to justify each step; identity and inverse properties named explicitly.</t>
        </is>
      </c>
      <c r="L74" s="15" t="inlineStr">
        <is>
          <t>auto-marked</t>
        </is>
      </c>
      <c r="N74" s="15" t="inlineStr">
        <is>
          <t>Published</t>
        </is>
      </c>
      <c r="P74" s="15" t="inlineStr">
        <is>
          <t>https://seager94.github.io/year-8/algebra/y8_alg_01_collecting_like_terms_v2.html</t>
        </is>
      </c>
      <c r="Q74" s="15" t="inlineStr">
        <is>
          <t>Status reconciled from repo 2026-05-30 (generated date unconfirmed)</t>
        </is>
      </c>
    </row>
    <row r="75" ht="15" customHeight="1" s="16">
      <c r="A75" s="15" t="inlineStr">
        <is>
          <t>y8_alg_02</t>
        </is>
      </c>
      <c r="B75" s="15" t="n">
        <v>8</v>
      </c>
      <c r="C75" s="15" t="inlineStr">
        <is>
          <t>Algebra</t>
        </is>
      </c>
      <c r="D75" s="15" t="n">
        <v>2</v>
      </c>
      <c r="E75" s="15" t="inlineStr">
        <is>
          <t>expanding_brackets</t>
        </is>
      </c>
      <c r="F75" s="15" t="inlineStr">
        <is>
          <t>y8_alg_02_expanding_brackets_v2.html</t>
        </is>
      </c>
      <c r="G75" s="15" t="inlineStr">
        <is>
          <t>AC9M8A01</t>
        </is>
      </c>
      <c r="H75" s="15" t="inlineStr">
        <is>
          <t>1,2,3</t>
        </is>
      </c>
      <c r="I75" s="15" t="inlineStr">
        <is>
          <t>Strict</t>
        </is>
      </c>
      <c r="J75" s="15" t="inlineStr">
        <is>
          <t>Equivalent algebraic expressions and solutions to equations can be determined by applying properties of mathematical operations and numbers</t>
        </is>
      </c>
      <c r="K75" s="15" t="inlineStr">
        <is>
          <t>Apply the distributive property to expand a(b + c) and a(b − c); use area models and algebra tiles to justify; expressions such as 3(a − b) = 3a − 3b and −2(x + 5) = −2x − 10.</t>
        </is>
      </c>
      <c r="L75" s="15" t="inlineStr">
        <is>
          <t>auto-marked</t>
        </is>
      </c>
      <c r="M75" s="15" t="inlineStr">
        <is>
          <t>y8_alg_01</t>
        </is>
      </c>
      <c r="N75" s="15" t="inlineStr">
        <is>
          <t>Published</t>
        </is>
      </c>
      <c r="P75" s="15" t="inlineStr">
        <is>
          <t>https://seager94.github.io/year-8/algebra/y8_alg_02_expanding_brackets_v2.html</t>
        </is>
      </c>
      <c r="Q75" s="15" t="inlineStr">
        <is>
          <t>Status reconciled from repo 2026-05-30 (generated date unconfirmed)</t>
        </is>
      </c>
    </row>
    <row r="76" ht="15" customHeight="1" s="16">
      <c r="A76" s="15" t="inlineStr">
        <is>
          <t>y8_alg_03</t>
        </is>
      </c>
      <c r="B76" s="15" t="n">
        <v>8</v>
      </c>
      <c r="C76" s="15" t="inlineStr">
        <is>
          <t>Algebra</t>
        </is>
      </c>
      <c r="D76" s="15" t="n">
        <v>3</v>
      </c>
      <c r="E76" s="15" t="inlineStr">
        <is>
          <t>factorising_linear_expressions</t>
        </is>
      </c>
      <c r="F76" s="15" t="inlineStr">
        <is>
          <t>y8_alg_03_factorising_linear_expressions_v2.html</t>
        </is>
      </c>
      <c r="G76" s="15" t="inlineStr">
        <is>
          <t>AC9M8A01</t>
        </is>
      </c>
      <c r="H76" s="15" t="inlineStr">
        <is>
          <t>2,3</t>
        </is>
      </c>
      <c r="I76" s="15" t="inlineStr">
        <is>
          <t>Strict</t>
        </is>
      </c>
      <c r="J76" s="15" t="inlineStr">
        <is>
          <t>Equivalent algebraic expressions and solutions to equations can be determined by applying properties of mathematical operations and numbers</t>
        </is>
      </c>
      <c r="K76" s="15" t="inlineStr">
        <is>
          <t>Reverse expanding by identifying the highest common factor; rewrite expressions like 2x + 4 as 2(x + 2) and 6a − 9 as 3(2a − 3); confirm by re-expanding.</t>
        </is>
      </c>
      <c r="L76" s="15" t="inlineStr">
        <is>
          <t>auto-marked</t>
        </is>
      </c>
      <c r="M76" s="15" t="inlineStr">
        <is>
          <t>y8_alg_02</t>
        </is>
      </c>
      <c r="N76" s="15" t="inlineStr">
        <is>
          <t>Published</t>
        </is>
      </c>
      <c r="P76" s="15" t="inlineStr">
        <is>
          <t>https://seager94.github.io/year-8/algebra/y8_alg_03_factorising_linear_expressions_v2.html</t>
        </is>
      </c>
      <c r="Q76" s="15" t="inlineStr">
        <is>
          <t>Status reconciled from repo 2026-05-30 (generated date unconfirmed)</t>
        </is>
      </c>
    </row>
    <row r="77" ht="15" customHeight="1" s="16">
      <c r="A77" s="15" t="inlineStr">
        <is>
          <t>y8_alg_04</t>
        </is>
      </c>
      <c r="B77" s="15" t="n">
        <v>8</v>
      </c>
      <c r="C77" s="15" t="inlineStr">
        <is>
          <t>Algebra</t>
        </is>
      </c>
      <c r="D77" s="15" t="n">
        <v>4</v>
      </c>
      <c r="E77" s="15" t="inlineStr">
        <is>
          <t>combining_expanding_simplifying</t>
        </is>
      </c>
      <c r="F77" s="15" t="inlineStr">
        <is>
          <t>y8_alg_04_combining_expanding_simplifying_v2.html</t>
        </is>
      </c>
      <c r="G77" s="15" t="inlineStr">
        <is>
          <t>AC9M8A01</t>
        </is>
      </c>
      <c r="H77" s="15" t="inlineStr">
        <is>
          <t>1,3</t>
        </is>
      </c>
      <c r="I77" s="15" t="inlineStr">
        <is>
          <t>Strict</t>
        </is>
      </c>
      <c r="J77" s="15" t="inlineStr">
        <is>
          <t>Equivalent algebraic expressions and solutions to equations can be determined by applying properties of mathematical operations and numbers</t>
        </is>
      </c>
      <c r="K77" s="15" t="inlineStr">
        <is>
          <t>Coordinate expanding, simplifying and collecting like terms in multi-step problems like 5(m + 2n) + 3m − 4n; write equivalent forms strategically; verify by substituting a test value.</t>
        </is>
      </c>
      <c r="L77" s="15" t="inlineStr">
        <is>
          <t>auto-marked</t>
        </is>
      </c>
      <c r="M77" s="15" t="inlineStr">
        <is>
          <t>y8_alg_02,y8_alg_03</t>
        </is>
      </c>
      <c r="N77" s="15" t="inlineStr">
        <is>
          <t>Published</t>
        </is>
      </c>
      <c r="P77" s="15" t="inlineStr">
        <is>
          <t>https://seager94.github.io/year-8/algebra/y8_alg_04_combining_expanding_simplifying_v2.html</t>
        </is>
      </c>
      <c r="Q77" s="15" t="inlineStr">
        <is>
          <t>Status reconciled from repo 2026-05-30 (generated date unconfirmed)</t>
        </is>
      </c>
    </row>
    <row r="78" ht="15" customHeight="1" s="16">
      <c r="A78" s="15" t="inlineStr">
        <is>
          <t>y8_alg_05</t>
        </is>
      </c>
      <c r="B78" s="15" t="n">
        <v>8</v>
      </c>
      <c r="C78" s="15" t="inlineStr">
        <is>
          <t>Algebra</t>
        </is>
      </c>
      <c r="D78" s="15" t="n">
        <v>5</v>
      </c>
      <c r="E78" s="15" t="inlineStr">
        <is>
          <t>linear_relationships_in_tables_and_graphs</t>
        </is>
      </c>
      <c r="F78" s="15" t="inlineStr">
        <is>
          <t>y8_alg_05_linear_relationships_in_tables_and_graphs_v2.html</t>
        </is>
      </c>
      <c r="G78" s="15" t="inlineStr">
        <is>
          <t>AC9M8A02</t>
        </is>
      </c>
      <c r="H78" s="15" t="inlineStr">
        <is>
          <t>1,3</t>
        </is>
      </c>
      <c r="I78" s="15" t="inlineStr">
        <is>
          <t>Strict</t>
        </is>
      </c>
      <c r="J78" s="15" t="inlineStr">
        <is>
          <t>Linear relations between two variables can be represented algebraically and graphically, leading to generalised patterns and conjectures</t>
        </is>
      </c>
      <c r="K78" s="15" t="inlineStr">
        <is>
          <t>Recognise linearity from a constant first difference in a table of values; complete tables from rules; plot ordered pairs and verify points lie on a straight line.</t>
        </is>
      </c>
      <c r="L78" s="15" t="inlineStr">
        <is>
          <t>auto-marked</t>
        </is>
      </c>
      <c r="N78" s="15" t="inlineStr">
        <is>
          <t>Published</t>
        </is>
      </c>
      <c r="P78" s="15" t="inlineStr">
        <is>
          <t>https://seager94.github.io/year-8/algebra/y8_alg_05_linear_relationships_in_tables_and_graphs_v2.html</t>
        </is>
      </c>
      <c r="Q78" s="15" t="inlineStr">
        <is>
          <t>Status reconciled from repo 2026-05-30 (generated date unconfirmed)</t>
        </is>
      </c>
    </row>
    <row r="79" ht="15" customHeight="1" s="16">
      <c r="A79" s="15" t="inlineStr">
        <is>
          <t>y8_alg_06</t>
        </is>
      </c>
      <c r="B79" s="15" t="n">
        <v>8</v>
      </c>
      <c r="C79" s="15" t="inlineStr">
        <is>
          <t>Algebra</t>
        </is>
      </c>
      <c r="D79" s="15" t="n">
        <v>6</v>
      </c>
      <c r="E79" s="15" t="inlineStr">
        <is>
          <t>graphing_horizontal_vertical_lines_and_regions</t>
        </is>
      </c>
      <c r="F79" s="15" t="inlineStr">
        <is>
          <t>y8_alg_06_graphing_horizontal_vertical_lines_and_regions_v2.html</t>
        </is>
      </c>
      <c r="G79" s="15" t="inlineStr">
        <is>
          <t>AC9M8A02</t>
        </is>
      </c>
      <c r="H79" s="15" t="inlineStr">
        <is>
          <t>2</t>
        </is>
      </c>
      <c r="I79" s="15" t="inlineStr">
        <is>
          <t>Strict</t>
        </is>
      </c>
      <c r="J79" s="15" t="inlineStr">
        <is>
          <t>Linear relations between two variables can be represented algebraically and graphically, leading to generalised patterns and conjectures</t>
        </is>
      </c>
      <c r="K79" s="15" t="inlineStr">
        <is>
          <t>Graph lines of the form x = a and y = a; graph and shade inequality regions x ≤ a, x &gt; a, y ≤ a, y &gt; a on the Cartesian plane; recognise the conventions for solid and dashed boundary lines.</t>
        </is>
      </c>
      <c r="L79" s="15" t="inlineStr">
        <is>
          <t>auto-marked</t>
        </is>
      </c>
      <c r="M79" s="15" t="inlineStr">
        <is>
          <t>y8_alg_05</t>
        </is>
      </c>
      <c r="N79" s="15" t="inlineStr">
        <is>
          <t>Planned</t>
        </is>
      </c>
    </row>
    <row r="80" ht="15" customHeight="1" s="16">
      <c r="A80" s="15" t="inlineStr">
        <is>
          <t>y8_alg_07</t>
        </is>
      </c>
      <c r="B80" s="15" t="n">
        <v>8</v>
      </c>
      <c r="C80" s="15" t="inlineStr">
        <is>
          <t>Algebra</t>
        </is>
      </c>
      <c r="D80" s="15" t="n">
        <v>7</v>
      </c>
      <c r="E80" s="15" t="inlineStr">
        <is>
          <t>solving_linear_equations_algebraically</t>
        </is>
      </c>
      <c r="F80" s="15" t="inlineStr">
        <is>
          <t>y8_alg_07_solving_linear_equations_algebraically_v2.html</t>
        </is>
      </c>
      <c r="G80" s="15" t="inlineStr">
        <is>
          <t>AC9M8A02</t>
        </is>
      </c>
      <c r="H80" s="15" t="inlineStr">
        <is>
          <t>5</t>
        </is>
      </c>
      <c r="I80" s="15" t="inlineStr">
        <is>
          <t>Strict</t>
        </is>
      </c>
      <c r="J80" s="15" t="inlineStr">
        <is>
          <t>Linear relations between two variables can be represented algebraically and graphically, leading to generalised patterns and conjectures</t>
        </is>
      </c>
      <c r="K80" s="15" t="inlineStr">
        <is>
          <t>Solve ax + b = c using inverse operations; verify solutions by substitution; extend to two-step rearrangements with both positive and negative coefficients of x.</t>
        </is>
      </c>
      <c r="L80" s="15" t="inlineStr">
        <is>
          <t>auto-marked</t>
        </is>
      </c>
      <c r="M80" s="15" t="inlineStr">
        <is>
          <t>y8_alg_03</t>
        </is>
      </c>
      <c r="N80" s="15" t="inlineStr">
        <is>
          <t>Published</t>
        </is>
      </c>
      <c r="P80" s="15" t="inlineStr">
        <is>
          <t>https://seager94.github.io/year-8/algebra/y8_alg_07_solving_linear_equations_algebraically_v2.html</t>
        </is>
      </c>
      <c r="Q80" s="15" t="inlineStr">
        <is>
          <t>Status reconciled from repo 2026-05-30 (generated date unconfirmed)</t>
        </is>
      </c>
    </row>
    <row r="81" ht="15" customHeight="1" s="16">
      <c r="A81" s="15" t="inlineStr">
        <is>
          <t>y8_alg_08</t>
        </is>
      </c>
      <c r="B81" s="15" t="n">
        <v>8</v>
      </c>
      <c r="C81" s="15" t="inlineStr">
        <is>
          <t>Algebra</t>
        </is>
      </c>
      <c r="D81" s="15" t="n">
        <v>8</v>
      </c>
      <c r="E81" s="15" t="inlineStr">
        <is>
          <t>solving_one_variable_inequalities</t>
        </is>
      </c>
      <c r="F81" s="15" t="inlineStr">
        <is>
          <t>y8_alg_08_solving_one_variable_inequalities_v2.html</t>
        </is>
      </c>
      <c r="G81" s="15" t="inlineStr">
        <is>
          <t>AC9M8A02</t>
        </is>
      </c>
      <c r="H81" s="15" t="inlineStr">
        <is>
          <t>4,5</t>
        </is>
      </c>
      <c r="I81" s="15" t="inlineStr">
        <is>
          <t>Strict</t>
        </is>
      </c>
      <c r="J81" s="15" t="inlineStr">
        <is>
          <t>Linear relations between two variables can be represented algebraically and graphically, leading to generalised patterns and conjectures</t>
        </is>
      </c>
      <c r="K81" s="15" t="inlineStr">
        <is>
          <t>Solve ax + b &lt; c and ax + b &gt; c using inverse operations (a &gt; 0); represent solutions on a number line; check with a test value; graphical interpretation as the region where the line is above or below c.</t>
        </is>
      </c>
      <c r="L81" s="15" t="inlineStr">
        <is>
          <t>auto-marked</t>
        </is>
      </c>
      <c r="M81" s="15" t="inlineStr">
        <is>
          <t>y8_alg_07</t>
        </is>
      </c>
      <c r="N81" s="15" t="inlineStr">
        <is>
          <t>Published</t>
        </is>
      </c>
      <c r="P81" s="15" t="inlineStr">
        <is>
          <t>https://seager94.github.io/year-8/algebra/y8_alg_08_solving_one_variable_inequalities_v2.html</t>
        </is>
      </c>
      <c r="Q81" s="15" t="inlineStr">
        <is>
          <t>Status reconciled from repo 2026-05-30 (generated date unconfirmed)</t>
        </is>
      </c>
    </row>
    <row r="82" ht="15" customHeight="1" s="16">
      <c r="A82" s="15" t="inlineStr">
        <is>
          <t>y8_alg_09</t>
        </is>
      </c>
      <c r="B82" s="15" t="n">
        <v>8</v>
      </c>
      <c r="C82" s="15" t="inlineStr">
        <is>
          <t>Algebra</t>
        </is>
      </c>
      <c r="D82" s="15" t="n">
        <v>9</v>
      </c>
      <c r="E82" s="15" t="inlineStr">
        <is>
          <t>equations_with_variables_on_both_sides</t>
        </is>
      </c>
      <c r="F82" s="15" t="inlineStr">
        <is>
          <t>y8_alg_09_equations_with_variables_on_both_sides_v2.html</t>
        </is>
      </c>
      <c r="G82" s="15" t="inlineStr">
        <is>
          <t>AC9M8A02</t>
        </is>
      </c>
      <c r="H82" s="15" t="inlineStr">
        <is>
          <t>6</t>
        </is>
      </c>
      <c r="I82" s="15" t="inlineStr">
        <is>
          <t>Strict</t>
        </is>
      </c>
      <c r="J82" s="15" t="inlineStr">
        <is>
          <t>Linear relations between two variables can be represented algebraically and graphically, leading to generalised patterns and conjectures</t>
        </is>
      </c>
      <c r="K82" s="15" t="inlineStr">
        <is>
          <t>Solve equations like 3x + 7 = 6x − 9 by collecting variables on one side; verify by substitution and visualise graphically as the intersection of two lines.</t>
        </is>
      </c>
      <c r="L82" s="15" t="inlineStr">
        <is>
          <t>auto-marked</t>
        </is>
      </c>
      <c r="M82" s="15" t="inlineStr">
        <is>
          <t>y8_alg_07</t>
        </is>
      </c>
      <c r="N82" s="15" t="inlineStr">
        <is>
          <t>Published</t>
        </is>
      </c>
      <c r="P82" s="15" t="inlineStr">
        <is>
          <t>https://seager94.github.io/year-8/algebra/y8_alg_09_equations_with_variables_on_both_sides_v2.html</t>
        </is>
      </c>
      <c r="Q82" s="15" t="inlineStr">
        <is>
          <t>Status reconciled from repo 2026-05-30 (generated date unconfirmed)</t>
        </is>
      </c>
    </row>
    <row r="83" ht="15" customHeight="1" s="16">
      <c r="A83" s="15" t="inlineStr">
        <is>
          <t>y8_alg_10</t>
        </is>
      </c>
      <c r="B83" s="15" t="n">
        <v>8</v>
      </c>
      <c r="C83" s="15" t="inlineStr">
        <is>
          <t>Algebra</t>
        </is>
      </c>
      <c r="D83" s="15" t="n">
        <v>10</v>
      </c>
      <c r="E83" s="15" t="inlineStr">
        <is>
          <t>modelling_with_linear_functions</t>
        </is>
      </c>
      <c r="F83" s="15" t="inlineStr">
        <is>
          <t>y8_alg_10_modelling_with_linear_functions_v2.html</t>
        </is>
      </c>
      <c r="G83" s="15" t="inlineStr">
        <is>
          <t>AC9M8A03</t>
        </is>
      </c>
      <c r="H83" s="15" t="inlineStr">
        <is>
          <t>1,2,4</t>
        </is>
      </c>
      <c r="I83" s="15" t="inlineStr">
        <is>
          <t>Strict</t>
        </is>
      </c>
      <c r="J83" s="15" t="inlineStr">
        <is>
          <t>Linear relations between two variables can be represented algebraically and graphically, leading to generalised patterns and conjectures</t>
        </is>
      </c>
      <c r="K83" s="15" t="inlineStr">
        <is>
          <t>Model contexts with linear functions — taxi fares with flag-fall fee, water tank drainage, trade quotes with call-out fees; interpret slope as rate of change and y-intercept as starting value; check validity (e.g. once tank is empty, no more flows).</t>
        </is>
      </c>
      <c r="L83" s="15" t="inlineStr">
        <is>
          <t>auto-marked + open-ended</t>
        </is>
      </c>
      <c r="M83" s="15" t="inlineStr">
        <is>
          <t>y8_alg_07</t>
        </is>
      </c>
      <c r="N83" s="15" t="inlineStr">
        <is>
          <t>Published</t>
        </is>
      </c>
      <c r="P83" s="15" t="inlineStr">
        <is>
          <t>https://seager94.github.io/year-8/algebra/y8_alg_10_modelling_with_linear_functions_v2.html</t>
        </is>
      </c>
      <c r="Q83" s="15" t="inlineStr">
        <is>
          <t>Status reconciled from repo 2026-05-30 (generated date unconfirmed)</t>
        </is>
      </c>
    </row>
    <row r="84" ht="15" customHeight="1" s="16">
      <c r="A84" s="15" t="inlineStr">
        <is>
          <t>y8_alg_11</t>
        </is>
      </c>
      <c r="B84" s="15" t="n">
        <v>8</v>
      </c>
      <c r="C84" s="15" t="inlineStr">
        <is>
          <t>Algebra</t>
        </is>
      </c>
      <c r="D84" s="15" t="n">
        <v>11</v>
      </c>
      <c r="E84" s="15" t="inlineStr">
        <is>
          <t>modelling_pay_rates_and_income</t>
        </is>
      </c>
      <c r="F84" s="15" t="inlineStr">
        <is>
          <t>y8_alg_11_modelling_pay_rates_and_income_v2.html</t>
        </is>
      </c>
      <c r="G84" s="15" t="inlineStr">
        <is>
          <t>AC9M8A03</t>
        </is>
      </c>
      <c r="H84" s="15" t="inlineStr">
        <is>
          <t>3</t>
        </is>
      </c>
      <c r="I84" s="15" t="inlineStr">
        <is>
          <t>Strict</t>
        </is>
      </c>
      <c r="J84" s="15" t="inlineStr">
        <is>
          <t>Linear relations between two variables can be represented algebraically and graphically, leading to generalised patterns and conjectures</t>
        </is>
      </c>
      <c r="K84" s="15" t="inlineStr">
        <is>
          <t>Use tables of values and graphs to represent pay-rate relationships; calculate weekly earnings from hourly rates including overtime; compare casual and salaried pay structures.</t>
        </is>
      </c>
      <c r="L84" s="15" t="inlineStr">
        <is>
          <t>auto-marked + open-ended</t>
        </is>
      </c>
      <c r="M84" s="15" t="inlineStr">
        <is>
          <t>y8_alg_10</t>
        </is>
      </c>
      <c r="N84" s="15" t="inlineStr">
        <is>
          <t>Published</t>
        </is>
      </c>
      <c r="P84" s="15" t="inlineStr">
        <is>
          <t>https://seager94.github.io/year-8/algebra/y8_alg_11_modelling_pay_rates_and_income_v2.html</t>
        </is>
      </c>
      <c r="Q84" s="15" t="inlineStr">
        <is>
          <t>Status reconciled from repo 2026-05-30 (generated date unconfirmed)</t>
        </is>
      </c>
    </row>
    <row r="85" ht="15" customHeight="1" s="16">
      <c r="A85" s="15" t="inlineStr">
        <is>
          <t>y8_alg_12</t>
        </is>
      </c>
      <c r="B85" s="15" t="n">
        <v>8</v>
      </c>
      <c r="C85" s="15" t="inlineStr">
        <is>
          <t>Algebra</t>
        </is>
      </c>
      <c r="D85" s="15" t="n">
        <v>12</v>
      </c>
      <c r="E85" s="15" t="inlineStr">
        <is>
          <t>investigating_linear_function_parameters</t>
        </is>
      </c>
      <c r="F85" s="15" t="inlineStr">
        <is>
          <t>y8_alg_12_investigating_linear_function_parameters_v2.html</t>
        </is>
      </c>
      <c r="G85" s="15" t="inlineStr">
        <is>
          <t>AC9M8A04</t>
        </is>
      </c>
      <c r="H85" s="15" t="inlineStr">
        <is>
          <t>1,2,3</t>
        </is>
      </c>
      <c r="I85" s="15" t="inlineStr">
        <is>
          <t>Strict</t>
        </is>
      </c>
      <c r="J85" s="15" t="inlineStr">
        <is>
          <t>Linear relations between two variables can be represented algebraically and graphically, leading to generalised patterns and conjectures</t>
        </is>
      </c>
      <c r="K85" s="15" t="inlineStr">
        <is>
          <t>Use graphing software to vary parameters of y = mx + c systematically; form and test conjectures about slope direction and y-intercept; explore integer solutions to 2x + 3y = 48.</t>
        </is>
      </c>
      <c r="L85" s="15" t="inlineStr">
        <is>
          <t>auto-marked + open-ended</t>
        </is>
      </c>
      <c r="M85" s="15" t="inlineStr">
        <is>
          <t>y8_alg_05,y8_alg_07</t>
        </is>
      </c>
      <c r="N85" s="15" t="inlineStr">
        <is>
          <t>Published</t>
        </is>
      </c>
      <c r="P85" s="15" t="inlineStr">
        <is>
          <t>https://seager94.github.io/year-8/algebra/y8_alg_12_investigating_linear_function_parameters_v2.html</t>
        </is>
      </c>
      <c r="Q85" s="15" t="inlineStr">
        <is>
          <t>Status reconciled from repo 2026-05-30 (generated date unconfirmed)</t>
        </is>
      </c>
    </row>
    <row r="86" ht="15" customHeight="1" s="16">
      <c r="A86" s="15" t="inlineStr">
        <is>
          <t>y8_mea_01</t>
        </is>
      </c>
      <c r="B86" s="15" t="n">
        <v>8</v>
      </c>
      <c r="C86" s="15" t="inlineStr">
        <is>
          <t>Measurement</t>
        </is>
      </c>
      <c r="D86" s="15" t="inlineStr">
        <is>
          <t>01</t>
        </is>
      </c>
      <c r="E86" s="15" t="inlineStr">
        <is>
          <t>perimeter_composite_shapes</t>
        </is>
      </c>
      <c r="F86" s="15" t="inlineStr">
        <is>
          <t>y8_mea_01_perimeter_composite_shapes_v2.html</t>
        </is>
      </c>
      <c r="G86" s="15" t="inlineStr">
        <is>
          <t>AC9M8M01</t>
        </is>
      </c>
      <c r="H86" s="15" t="inlineStr">
        <is>
          <t>3</t>
        </is>
      </c>
      <c r="I86" s="15" t="inlineStr">
        <is>
          <t>Strict</t>
        </is>
      </c>
      <c r="J86" s="15" t="inlineStr">
        <is>
          <t>Attributes such as length, area, volume, rates and angles of 1-, 2- and 3-dimensional objects including irregular and composite shapes can be quantified with appropriate units and used to solve problems in a range of contexts</t>
        </is>
      </c>
      <c r="K86" s="15" t="inlineStr">
        <is>
          <t>Perimeter composite shapes</t>
        </is>
      </c>
      <c r="L86" s="15" t="inlineStr">
        <is>
          <t>auto-marked</t>
        </is>
      </c>
      <c r="N86" s="15" t="inlineStr">
        <is>
          <t>Published</t>
        </is>
      </c>
      <c r="P86" s="15" t="inlineStr">
        <is>
          <t>https://seager94.github.io/year-8/measurement/y8_mea_01_perimeter_composite_shapes_v2.html</t>
        </is>
      </c>
      <c r="Q86" s="15" t="inlineStr">
        <is>
          <t>Reconciled from file meta 2026-05-30</t>
        </is>
      </c>
    </row>
    <row r="87" ht="15" customHeight="1" s="16">
      <c r="A87" s="15" t="inlineStr">
        <is>
          <t>y8_mea_02</t>
        </is>
      </c>
      <c r="B87" s="15" t="n">
        <v>8</v>
      </c>
      <c r="C87" s="15" t="inlineStr">
        <is>
          <t>Measurement</t>
        </is>
      </c>
      <c r="D87" s="15" t="inlineStr">
        <is>
          <t>02</t>
        </is>
      </c>
      <c r="E87" s="15" t="inlineStr">
        <is>
          <t>area_composite_irregular_shapes</t>
        </is>
      </c>
      <c r="F87" s="15" t="inlineStr">
        <is>
          <t>y8_mea_02_area_composite_irregular_shapes_v2.html</t>
        </is>
      </c>
      <c r="G87" s="15" t="inlineStr">
        <is>
          <t>AC9M8M01</t>
        </is>
      </c>
      <c r="H87" s="15" t="inlineStr">
        <is>
          <t>1,2,3</t>
        </is>
      </c>
      <c r="I87" s="15" t="inlineStr">
        <is>
          <t>Strict</t>
        </is>
      </c>
      <c r="J87" s="15" t="inlineStr">
        <is>
          <t>Attributes such as length, area, volume, rates and angles of 1-, 2- and 3-dimensional objects including irregular and composite shapes can be quantified with appropriate units and used to solve problems in a range of contexts</t>
        </is>
      </c>
      <c r="K87" s="15" t="inlineStr">
        <is>
          <t>Area composite irregular shapes</t>
        </is>
      </c>
      <c r="L87" s="15" t="inlineStr">
        <is>
          <t>auto-marked</t>
        </is>
      </c>
      <c r="N87" s="15" t="inlineStr">
        <is>
          <t>Published</t>
        </is>
      </c>
      <c r="P87" s="15" t="inlineStr">
        <is>
          <t>https://seager94.github.io/year-8/measurement/y8_mea_02_area_composite_irregular_shapes_v2.html</t>
        </is>
      </c>
      <c r="Q87" s="15" t="inlineStr">
        <is>
          <t>Reconciled from file meta 2026-05-30</t>
        </is>
      </c>
    </row>
    <row r="88" ht="15" customHeight="1" s="16">
      <c r="A88" s="15" t="inlineStr">
        <is>
          <t>y8_mea_03</t>
        </is>
      </c>
      <c r="B88" s="15" t="n">
        <v>8</v>
      </c>
      <c r="C88" s="15" t="inlineStr">
        <is>
          <t>Measurement</t>
        </is>
      </c>
      <c r="D88" s="15" t="inlineStr">
        <is>
          <t>03</t>
        </is>
      </c>
      <c r="E88" s="15" t="inlineStr">
        <is>
          <t>circumference_of_a_circle</t>
        </is>
      </c>
      <c r="F88" s="15" t="inlineStr">
        <is>
          <t>y8_mea_03_circumference_of_a_circle_v2.html</t>
        </is>
      </c>
      <c r="G88" s="15" t="inlineStr">
        <is>
          <t>AC9M8M03</t>
        </is>
      </c>
      <c r="H88" s="15" t="inlineStr">
        <is>
          <t>3</t>
        </is>
      </c>
      <c r="I88" s="15" t="inlineStr">
        <is>
          <t>Strict</t>
        </is>
      </c>
      <c r="J88" s="15" t="inlineStr">
        <is>
          <t>Attributes such as length, area, volume, rates and angles of 1-, 2- and 3-dimensional objects including irregular and composite shapes can be quantified with appropriate units and used to solve problems in a range of contexts</t>
        </is>
      </c>
      <c r="K88" s="15" t="inlineStr">
        <is>
          <t>Circumference of a circle</t>
        </is>
      </c>
      <c r="L88" s="15" t="inlineStr">
        <is>
          <t>auto-marked</t>
        </is>
      </c>
      <c r="N88" s="15" t="inlineStr">
        <is>
          <t>Published</t>
        </is>
      </c>
      <c r="P88" s="15" t="inlineStr">
        <is>
          <t>https://seager94.github.io/year-8/measurement/y8_mea_03_circumference_of_a_circle_v2.html</t>
        </is>
      </c>
      <c r="Q88" s="15" t="inlineStr">
        <is>
          <t>Reconciled from file meta 2026-05-30</t>
        </is>
      </c>
    </row>
    <row r="89" ht="15" customHeight="1" s="16">
      <c r="A89" s="15" t="inlineStr">
        <is>
          <t>y8_mea_04</t>
        </is>
      </c>
      <c r="B89" s="15" t="n">
        <v>8</v>
      </c>
      <c r="C89" s="15" t="inlineStr">
        <is>
          <t>Measurement</t>
        </is>
      </c>
      <c r="D89" s="15" t="inlineStr">
        <is>
          <t>04</t>
        </is>
      </c>
      <c r="E89" s="15" t="inlineStr">
        <is>
          <t>area_of_a_circle</t>
        </is>
      </c>
      <c r="F89" s="15" t="inlineStr">
        <is>
          <t>y8_mea_04_area_of_a_circle_v2.html</t>
        </is>
      </c>
      <c r="G89" s="15" t="inlineStr">
        <is>
          <t>AC9M8M03</t>
        </is>
      </c>
      <c r="H89" s="15" t="inlineStr">
        <is>
          <t>1,2,3</t>
        </is>
      </c>
      <c r="I89" s="15" t="inlineStr">
        <is>
          <t>Strict</t>
        </is>
      </c>
      <c r="J89" s="15" t="inlineStr">
        <is>
          <t>Attributes such as length, area, volume, rates and angles of 1-, 2- and 3-dimensional objects including irregular and composite shapes can be quantified with appropriate units and used to solve problems in a range of contexts</t>
        </is>
      </c>
      <c r="K89" s="15" t="inlineStr">
        <is>
          <t>Area of a circle</t>
        </is>
      </c>
      <c r="L89" s="15" t="inlineStr">
        <is>
          <t>auto-marked</t>
        </is>
      </c>
      <c r="N89" s="15" t="inlineStr">
        <is>
          <t>Published</t>
        </is>
      </c>
      <c r="P89" s="15" t="inlineStr">
        <is>
          <t>https://seager94.github.io/year-8/measurement/y8_mea_04_area_of_a_circle_v2.html</t>
        </is>
      </c>
      <c r="Q89" s="15" t="inlineStr">
        <is>
          <t>Reconciled from file meta 2026-05-30</t>
        </is>
      </c>
    </row>
    <row r="90" ht="15" customHeight="1" s="16">
      <c r="A90" s="15" t="inlineStr">
        <is>
          <t>y8_mea_05</t>
        </is>
      </c>
      <c r="B90" s="15" t="n">
        <v>8</v>
      </c>
      <c r="C90" s="15" t="inlineStr">
        <is>
          <t>Measurement</t>
        </is>
      </c>
      <c r="D90" s="15" t="inlineStr">
        <is>
          <t>05</t>
        </is>
      </c>
      <c r="E90" s="15" t="inlineStr">
        <is>
          <t>volume_of_right_prisms</t>
        </is>
      </c>
      <c r="F90" s="15" t="inlineStr">
        <is>
          <t>y8_mea_05_volume_of_right_prisms_v2.html</t>
        </is>
      </c>
      <c r="G90" s="15" t="inlineStr">
        <is>
          <t>AC9M8M02</t>
        </is>
      </c>
      <c r="H90" s="15" t="inlineStr">
        <is>
          <t>2,3,4</t>
        </is>
      </c>
      <c r="I90" s="15" t="inlineStr">
        <is>
          <t>Strict</t>
        </is>
      </c>
      <c r="J90" s="15" t="inlineStr">
        <is>
          <t>Attributes such as length, area, volume, rates and angles of 1-, 2- and 3-dimensional objects including irregular and composite shapes can be quantified with appropriate units and used to solve problems in a range of contexts</t>
        </is>
      </c>
      <c r="K90" s="15" t="inlineStr">
        <is>
          <t>Volume of right prisms</t>
        </is>
      </c>
      <c r="L90" s="15" t="inlineStr">
        <is>
          <t>auto-marked</t>
        </is>
      </c>
      <c r="N90" s="15" t="inlineStr">
        <is>
          <t>Published</t>
        </is>
      </c>
      <c r="P90" s="15" t="inlineStr">
        <is>
          <t>https://seager94.github.io/year-8/measurement/y8_mea_05_volume_of_right_prisms_v2.html</t>
        </is>
      </c>
      <c r="Q90" s="15" t="inlineStr">
        <is>
          <t>Reconciled from file meta 2026-05-30</t>
        </is>
      </c>
    </row>
    <row r="91" ht="15" customHeight="1" s="16">
      <c r="A91" s="15" t="inlineStr">
        <is>
          <t>y8_mea_06</t>
        </is>
      </c>
      <c r="B91" s="15" t="n">
        <v>8</v>
      </c>
      <c r="C91" s="15" t="inlineStr">
        <is>
          <t>Measurement</t>
        </is>
      </c>
      <c r="D91" s="15" t="inlineStr">
        <is>
          <t>06</t>
        </is>
      </c>
      <c r="E91" s="15" t="inlineStr">
        <is>
          <t>volume_capacity_metric_units</t>
        </is>
      </c>
      <c r="F91" s="15" t="inlineStr">
        <is>
          <t>y8_mea_06_volume_capacity_metric_units_v2.html</t>
        </is>
      </c>
      <c r="G91" s="15" t="inlineStr">
        <is>
          <t>AC9M8M02</t>
        </is>
      </c>
      <c r="H91" s="15" t="inlineStr">
        <is>
          <t>1,2</t>
        </is>
      </c>
      <c r="I91" s="15" t="inlineStr">
        <is>
          <t>Strict</t>
        </is>
      </c>
      <c r="J91" s="15" t="inlineStr">
        <is>
          <t>Attributes such as length, area, volume, rates and angles of 1-, 2- and 3-dimensional objects including irregular and composite shapes can be quantified with appropriate units and used to solve problems in a range of contexts</t>
        </is>
      </c>
      <c r="K91" s="15" t="inlineStr">
        <is>
          <t>Volume capacity metric units</t>
        </is>
      </c>
      <c r="L91" s="15" t="inlineStr">
        <is>
          <t>auto-marked</t>
        </is>
      </c>
      <c r="N91" s="15" t="inlineStr">
        <is>
          <t>Published</t>
        </is>
      </c>
      <c r="P91" s="15" t="inlineStr">
        <is>
          <t>https://seager94.github.io/year-8/measurement/y8_mea_06_volume_capacity_metric_units_v2.html</t>
        </is>
      </c>
      <c r="Q91" s="15" t="inlineStr">
        <is>
          <t>Reconciled from file meta 2026-05-30</t>
        </is>
      </c>
    </row>
    <row r="92" ht="15" customHeight="1" s="16">
      <c r="A92" s="15" t="inlineStr">
        <is>
          <t>y8_mea_07</t>
        </is>
      </c>
      <c r="B92" s="15" t="n">
        <v>8</v>
      </c>
      <c r="C92" s="15" t="inlineStr">
        <is>
          <t>Measurement</t>
        </is>
      </c>
      <c r="D92" s="15" t="inlineStr">
        <is>
          <t>07</t>
        </is>
      </c>
      <c r="E92" s="15" t="inlineStr">
        <is>
          <t>pythagoras_finding_hypotenuse</t>
        </is>
      </c>
      <c r="F92" s="15" t="inlineStr">
        <is>
          <t>y8_mea_07_pythagoras_finding_hypotenuse_v2.html</t>
        </is>
      </c>
      <c r="G92" s="15" t="inlineStr">
        <is>
          <t>AC9M8M06</t>
        </is>
      </c>
      <c r="H92" s="15" t="inlineStr">
        <is>
          <t>1,2</t>
        </is>
      </c>
      <c r="I92" s="15" t="inlineStr">
        <is>
          <t>Strict</t>
        </is>
      </c>
      <c r="J92" s="15" t="inlineStr">
        <is>
          <t>Attributes such as length, area, volume, rates and angles of 1-, 2- and 3-dimensional objects including irregular and composite shapes can be quantified with appropriate units and used to solve problems in a range of contexts</t>
        </is>
      </c>
      <c r="K92" s="15" t="inlineStr">
        <is>
          <t>Pythagoras finding hypotenuse</t>
        </is>
      </c>
      <c r="L92" s="15" t="inlineStr">
        <is>
          <t>auto-marked</t>
        </is>
      </c>
      <c r="N92" s="15" t="inlineStr">
        <is>
          <t>Published</t>
        </is>
      </c>
      <c r="P92" s="15" t="inlineStr">
        <is>
          <t>https://seager94.github.io/year-8/measurement/y8_mea_07_pythagoras_finding_hypotenuse_v2.html</t>
        </is>
      </c>
      <c r="Q92" s="15" t="inlineStr">
        <is>
          <t>Reconciled from file meta 2026-05-30</t>
        </is>
      </c>
    </row>
    <row r="93" ht="15" customHeight="1" s="16">
      <c r="A93" s="15" t="inlineStr">
        <is>
          <t>y8_mea_08</t>
        </is>
      </c>
      <c r="B93" s="15" t="n">
        <v>8</v>
      </c>
      <c r="C93" s="15" t="inlineStr">
        <is>
          <t>Measurement</t>
        </is>
      </c>
      <c r="D93" s="15" t="inlineStr">
        <is>
          <t>08</t>
        </is>
      </c>
      <c r="E93" s="15" t="inlineStr">
        <is>
          <t>pythagoras_finding_shorter_side</t>
        </is>
      </c>
      <c r="F93" s="15" t="inlineStr">
        <is>
          <t>y8_mea_08_pythagoras_finding_shorter_side_v2.html</t>
        </is>
      </c>
      <c r="G93" s="15" t="inlineStr">
        <is>
          <t>AC9M8M06</t>
        </is>
      </c>
      <c r="H93" s="15" t="inlineStr">
        <is>
          <t>2,3,4</t>
        </is>
      </c>
      <c r="I93" s="15" t="inlineStr">
        <is>
          <t>Strict</t>
        </is>
      </c>
      <c r="J93" s="15" t="inlineStr">
        <is>
          <t>Attributes such as length, area, volume, rates and angles of 1-, 2- and 3-dimensional objects including irregular and composite shapes can be quantified with appropriate units and used to solve problems in a range of contexts</t>
        </is>
      </c>
      <c r="K93" s="15" t="inlineStr">
        <is>
          <t>Pythagoras finding shorter side</t>
        </is>
      </c>
      <c r="L93" s="15" t="inlineStr">
        <is>
          <t>auto-marked</t>
        </is>
      </c>
      <c r="N93" s="15" t="inlineStr">
        <is>
          <t>Published</t>
        </is>
      </c>
      <c r="P93" s="15" t="inlineStr">
        <is>
          <t>https://seager94.github.io/year-8/measurement/y8_mea_08_pythagoras_finding_shorter_side_v2.html</t>
        </is>
      </c>
      <c r="Q93" s="15" t="inlineStr">
        <is>
          <t>Reconciled from file meta 2026-05-30</t>
        </is>
      </c>
    </row>
    <row r="94" ht="15" customHeight="1" s="16">
      <c r="A94" s="15" t="inlineStr">
        <is>
          <t>y8_mea_09</t>
        </is>
      </c>
      <c r="B94" s="15" t="n">
        <v>8</v>
      </c>
      <c r="C94" s="15" t="inlineStr">
        <is>
          <t>Measurement</t>
        </is>
      </c>
      <c r="D94" s="15" t="inlineStr">
        <is>
          <t>09</t>
        </is>
      </c>
      <c r="E94" s="15" t="inlineStr">
        <is>
          <t>rates</t>
        </is>
      </c>
      <c r="F94" s="15" t="inlineStr">
        <is>
          <t>y8_mea_09_rates_v2.html</t>
        </is>
      </c>
      <c r="G94" s="15" t="inlineStr">
        <is>
          <t>AC9M8M05</t>
        </is>
      </c>
      <c r="H94" s="15" t="inlineStr">
        <is>
          <t>1,2,3</t>
        </is>
      </c>
      <c r="I94" s="15" t="inlineStr">
        <is>
          <t>Strict</t>
        </is>
      </c>
      <c r="J94" s="15" t="inlineStr">
        <is>
          <t>Mathematical modelling can be used to represent and solve practical problems, including in financial contexts, using rational numbers and percentages</t>
        </is>
      </c>
      <c r="K94" s="15" t="inlineStr">
        <is>
          <t>Rates</t>
        </is>
      </c>
      <c r="L94" s="15" t="inlineStr">
        <is>
          <t>auto-marked + open-ended</t>
        </is>
      </c>
      <c r="N94" s="15" t="inlineStr">
        <is>
          <t>Published</t>
        </is>
      </c>
      <c r="P94" s="15" t="inlineStr">
        <is>
          <t>https://seager94.github.io/year-8/measurement/y8_mea_09_rates_v2.html</t>
        </is>
      </c>
      <c r="Q94" s="15" t="inlineStr">
        <is>
          <t>Reconciled from file meta 2026-05-30</t>
        </is>
      </c>
    </row>
    <row r="95" ht="15" customHeight="1" s="16">
      <c r="A95" s="15" t="inlineStr">
        <is>
          <t>y8_mea_10</t>
        </is>
      </c>
      <c r="B95" s="15" t="n">
        <v>8</v>
      </c>
      <c r="C95" s="15" t="inlineStr">
        <is>
          <t>Measurement</t>
        </is>
      </c>
      <c r="D95" s="15" t="inlineStr">
        <is>
          <t>10</t>
        </is>
      </c>
      <c r="E95" s="15" t="inlineStr">
        <is>
          <t>time_and_duration</t>
        </is>
      </c>
      <c r="F95" s="15" t="inlineStr">
        <is>
          <t>y8_mea_10_time_and_duration_v2.html</t>
        </is>
      </c>
      <c r="G95" s="15" t="inlineStr">
        <is>
          <t>AC9M8M04</t>
        </is>
      </c>
      <c r="H95" s="15" t="inlineStr">
        <is>
          <t>1,2,3</t>
        </is>
      </c>
      <c r="I95" s="15" t="inlineStr">
        <is>
          <t>Strict</t>
        </is>
      </c>
      <c r="J95" s="15" t="inlineStr">
        <is>
          <t>Duration can be quantified using units of time, including 12- and 24-hour time, and compared across different time zones</t>
        </is>
      </c>
      <c r="K95" s="15" t="inlineStr">
        <is>
          <t>Time and duration</t>
        </is>
      </c>
      <c r="L95" s="15" t="inlineStr">
        <is>
          <t>auto-marked</t>
        </is>
      </c>
      <c r="N95" s="15" t="inlineStr">
        <is>
          <t>Published</t>
        </is>
      </c>
      <c r="P95" s="15" t="inlineStr">
        <is>
          <t>https://seager94.github.io/year-8/measurement/y8_mea_10_time_and_duration_v2.html</t>
        </is>
      </c>
      <c r="Q95" s="15" t="inlineStr">
        <is>
          <t>Reconciled from file meta 2026-05-30</t>
        </is>
      </c>
    </row>
    <row r="96" ht="15" customHeight="1" s="16">
      <c r="A96" s="15" t="inlineStr">
        <is>
          <t>y8_mea_11</t>
        </is>
      </c>
      <c r="B96" s="15" t="n">
        <v>8</v>
      </c>
      <c r="C96" s="15" t="inlineStr">
        <is>
          <t>Measurement</t>
        </is>
      </c>
      <c r="D96" s="15" t="inlineStr">
        <is>
          <t>11</t>
        </is>
      </c>
      <c r="E96" s="15" t="inlineStr">
        <is>
          <t>time_zones</t>
        </is>
      </c>
      <c r="F96" s="15" t="inlineStr">
        <is>
          <t>y8_mea_11_time_zones_v2.html</t>
        </is>
      </c>
      <c r="G96" s="15" t="inlineStr">
        <is>
          <t>AC9M8M04</t>
        </is>
      </c>
      <c r="H96" s="15" t="inlineStr">
        <is>
          <t>1,2,3</t>
        </is>
      </c>
      <c r="I96" s="15" t="inlineStr">
        <is>
          <t>Strict</t>
        </is>
      </c>
      <c r="J96" s="15" t="inlineStr">
        <is>
          <t>Duration can be quantified using units of time, including 12- and 24-hour time, and compared across different time zones</t>
        </is>
      </c>
      <c r="K96" s="15" t="inlineStr">
        <is>
          <t>Time zones</t>
        </is>
      </c>
      <c r="L96" s="15" t="inlineStr">
        <is>
          <t>auto-marked</t>
        </is>
      </c>
      <c r="N96" s="15" t="inlineStr">
        <is>
          <t>Published</t>
        </is>
      </c>
      <c r="P96" s="15" t="inlineStr">
        <is>
          <t>https://seager94.github.io/year-8/measurement/y8_mea_11_time_zones_v2.html</t>
        </is>
      </c>
      <c r="Q96" s="15" t="inlineStr">
        <is>
          <t>Reconciled from file meta 2026-05-30</t>
        </is>
      </c>
    </row>
    <row r="97" ht="15" customHeight="1" s="16">
      <c r="A97" s="15" t="inlineStr">
        <is>
          <t>y8_mea_12</t>
        </is>
      </c>
      <c r="B97" s="15" t="n">
        <v>8</v>
      </c>
      <c r="C97" s="15" t="inlineStr">
        <is>
          <t>Measurement</t>
        </is>
      </c>
      <c r="D97" s="15" t="inlineStr">
        <is>
          <t>12</t>
        </is>
      </c>
      <c r="E97" s="15" t="inlineStr">
        <is>
          <t>modelling_with_ratios</t>
        </is>
      </c>
      <c r="F97" s="15" t="inlineStr">
        <is>
          <t>y8_mea_12_modelling_with_ratios_v2.html</t>
        </is>
      </c>
      <c r="G97" s="15" t="inlineStr">
        <is>
          <t>AC9M8M07</t>
        </is>
      </c>
      <c r="H97" s="15" t="inlineStr">
        <is>
          <t>1,4,5</t>
        </is>
      </c>
      <c r="I97" s="15" t="inlineStr">
        <is>
          <t>Strict</t>
        </is>
      </c>
      <c r="J97" s="15" t="inlineStr">
        <is>
          <t>Attributes such as length, area, volume, rates and angles of 1-, 2- and 3-dimensional objects including irregular and composite shapes can be quantified with appropriate units and used to solve problems in a range of contexts</t>
        </is>
      </c>
      <c r="K97" s="15" t="inlineStr">
        <is>
          <t>Modelling with ratios</t>
        </is>
      </c>
      <c r="L97" s="15" t="inlineStr">
        <is>
          <t>auto-marked + open-ended</t>
        </is>
      </c>
      <c r="N97" s="15" t="inlineStr">
        <is>
          <t>Published</t>
        </is>
      </c>
      <c r="P97" s="15" t="inlineStr">
        <is>
          <t>https://seager94.github.io/year-8/measurement/y8_mea_12_modelling_with_ratios_v2.html</t>
        </is>
      </c>
      <c r="Q97" s="15" t="inlineStr">
        <is>
          <t>Reconciled from file meta 2026-05-30</t>
        </is>
      </c>
    </row>
    <row r="98" ht="15" customHeight="1" s="16">
      <c r="A98" s="15" t="inlineStr">
        <is>
          <t>y8_mea_13</t>
        </is>
      </c>
      <c r="B98" s="15" t="n">
        <v>8</v>
      </c>
      <c r="C98" s="15" t="inlineStr">
        <is>
          <t>Measurement</t>
        </is>
      </c>
      <c r="D98" s="15" t="inlineStr">
        <is>
          <t>13</t>
        </is>
      </c>
      <c r="E98" s="15" t="inlineStr">
        <is>
          <t>modelling_rates_financial</t>
        </is>
      </c>
      <c r="F98" s="15" t="inlineStr">
        <is>
          <t>y8_mea_13_modelling_rates_financial_v2.html</t>
        </is>
      </c>
      <c r="G98" s="15" t="inlineStr">
        <is>
          <t>AC9M8M07</t>
        </is>
      </c>
      <c r="H98" s="15" t="inlineStr">
        <is>
          <t>2,3</t>
        </is>
      </c>
      <c r="I98" s="15" t="inlineStr">
        <is>
          <t>Strict</t>
        </is>
      </c>
      <c r="J98" s="15" t="inlineStr">
        <is>
          <t>Attributes such as length, area, volume, rates and angles of 1-, 2- and 3-dimensional objects including irregular and composite shapes can be quantified with appropriate units and used to solve problems in a range of contexts</t>
        </is>
      </c>
      <c r="K98" s="15" t="inlineStr">
        <is>
          <t>Modelling rates financial</t>
        </is>
      </c>
      <c r="L98" s="15" t="inlineStr">
        <is>
          <t>auto-marked + open-ended</t>
        </is>
      </c>
      <c r="N98" s="15" t="inlineStr">
        <is>
          <t>Published</t>
        </is>
      </c>
      <c r="P98" s="15" t="inlineStr">
        <is>
          <t>https://seager94.github.io/year-8/measurement/y8_mea_13_modelling_rates_financial_v2.html</t>
        </is>
      </c>
      <c r="Q98" s="15" t="inlineStr">
        <is>
          <t>Reconciled from file meta 2026-05-30</t>
        </is>
      </c>
    </row>
    <row r="99" ht="15" customHeight="1" s="16">
      <c r="A99" s="15" t="inlineStr">
        <is>
          <t>y8_space_01</t>
        </is>
      </c>
      <c r="B99" s="15" t="n">
        <v>8</v>
      </c>
      <c r="C99" s="15" t="inlineStr">
        <is>
          <t>Space</t>
        </is>
      </c>
      <c r="D99" s="15" t="inlineStr">
        <is>
          <t>01</t>
        </is>
      </c>
      <c r="E99" s="15" t="inlineStr">
        <is>
          <t>introducing_congruence</t>
        </is>
      </c>
      <c r="F99" s="15" t="inlineStr">
        <is>
          <t>y8_space_01_introducing_congruence_v2.html</t>
        </is>
      </c>
      <c r="G99" s="15" t="inlineStr">
        <is>
          <t>AC9M8SP01</t>
        </is>
      </c>
      <c r="H99" s="15" t="inlineStr">
        <is>
          <t>TODO: backfill (file meta missing)</t>
        </is>
      </c>
      <c r="I99" s="15" t="inlineStr">
        <is>
          <t>Inferred - file meta missing</t>
        </is>
      </c>
      <c r="J99" s="15" t="inlineStr">
        <is>
          <t>Congruency and similarity can be established and used for triangles and other shapes to describe position, location and properties</t>
        </is>
      </c>
      <c r="K99" s="15" t="inlineStr">
        <is>
          <t>Introducing congruence</t>
        </is>
      </c>
      <c r="L99" s="15" t="inlineStr">
        <is>
          <t>matching</t>
        </is>
      </c>
      <c r="N99" s="15" t="inlineStr">
        <is>
          <t>Published</t>
        </is>
      </c>
      <c r="P99" s="15" t="inlineStr">
        <is>
          <t>https://seager94.github.io/year-8/space/y8_space_01_introducing_congruence_v2.html</t>
        </is>
      </c>
      <c r="Q99" s="15" t="inlineStr">
        <is>
          <t>Reconciled 2026-05-30; file meta missing - descriptor inferred, backfill meta+elaborations</t>
        </is>
      </c>
    </row>
    <row r="100" ht="15" customHeight="1" s="16">
      <c r="A100" s="15" t="inlineStr">
        <is>
          <t>y8_space_02</t>
        </is>
      </c>
      <c r="B100" s="15" t="n">
        <v>8</v>
      </c>
      <c r="C100" s="15" t="inlineStr">
        <is>
          <t>Space</t>
        </is>
      </c>
      <c r="D100" s="15" t="inlineStr">
        <is>
          <t>02</t>
        </is>
      </c>
      <c r="E100" s="15" t="inlineStr">
        <is>
          <t>sss_sas_congruence</t>
        </is>
      </c>
      <c r="F100" s="15" t="inlineStr">
        <is>
          <t>y8_space_02_sss_sas_congruence_v2.html</t>
        </is>
      </c>
      <c r="G100" s="15" t="inlineStr">
        <is>
          <t>AC9M8SP01</t>
        </is>
      </c>
      <c r="H100" s="15" t="inlineStr">
        <is>
          <t>TODO: backfill (file meta missing)</t>
        </is>
      </c>
      <c r="I100" s="15" t="inlineStr">
        <is>
          <t>Inferred - file meta missing</t>
        </is>
      </c>
      <c r="J100" s="15" t="inlineStr">
        <is>
          <t>Congruency and similarity can be established and used for triangles and other shapes to describe position, location and properties</t>
        </is>
      </c>
      <c r="K100" s="15" t="inlineStr">
        <is>
          <t>Sss sas congruence</t>
        </is>
      </c>
      <c r="L100" s="15" t="inlineStr">
        <is>
          <t>matching</t>
        </is>
      </c>
      <c r="N100" s="15" t="inlineStr">
        <is>
          <t>Published</t>
        </is>
      </c>
      <c r="P100" s="15" t="inlineStr">
        <is>
          <t>https://seager94.github.io/year-8/space/y8_space_02_sss_sas_congruence_v2.html</t>
        </is>
      </c>
      <c r="Q100" s="15" t="inlineStr">
        <is>
          <t>Reconciled 2026-05-30; file meta missing - descriptor inferred, backfill meta+elaborations</t>
        </is>
      </c>
    </row>
    <row r="101" ht="15" customHeight="1" s="16">
      <c r="A101" s="15" t="inlineStr">
        <is>
          <t>y8_space_03</t>
        </is>
      </c>
      <c r="B101" s="15" t="n">
        <v>8</v>
      </c>
      <c r="C101" s="15" t="inlineStr">
        <is>
          <t>Space</t>
        </is>
      </c>
      <c r="D101" s="15" t="inlineStr">
        <is>
          <t>03</t>
        </is>
      </c>
      <c r="E101" s="15" t="inlineStr">
        <is>
          <t>asa_rhs_congruence</t>
        </is>
      </c>
      <c r="F101" s="15" t="inlineStr">
        <is>
          <t>y8_space_03_asa_rhs_congruence_v2.html</t>
        </is>
      </c>
      <c r="G101" s="15" t="inlineStr">
        <is>
          <t>AC9M8SP01</t>
        </is>
      </c>
      <c r="H101" s="15" t="inlineStr">
        <is>
          <t>TODO: backfill (file meta missing)</t>
        </is>
      </c>
      <c r="I101" s="15" t="inlineStr">
        <is>
          <t>Inferred - file meta missing</t>
        </is>
      </c>
      <c r="J101" s="15" t="inlineStr">
        <is>
          <t>Congruency and similarity can be established and used for triangles and other shapes to describe position, location and properties</t>
        </is>
      </c>
      <c r="K101" s="15" t="inlineStr">
        <is>
          <t>Asa rhs congruence</t>
        </is>
      </c>
      <c r="L101" s="15" t="inlineStr">
        <is>
          <t>matching</t>
        </is>
      </c>
      <c r="N101" s="15" t="inlineStr">
        <is>
          <t>Published</t>
        </is>
      </c>
      <c r="P101" s="15" t="inlineStr">
        <is>
          <t>https://seager94.github.io/year-8/space/y8_space_03_asa_rhs_congruence_v2.html</t>
        </is>
      </c>
      <c r="Q101" s="15" t="inlineStr">
        <is>
          <t>Reconciled 2026-05-30; file meta missing - descriptor inferred, backfill meta+elaborations</t>
        </is>
      </c>
    </row>
    <row r="102" ht="15" customHeight="1" s="16">
      <c r="A102" s="15" t="inlineStr">
        <is>
          <t>y8_space_04</t>
        </is>
      </c>
      <c r="B102" s="15" t="n">
        <v>8</v>
      </c>
      <c r="C102" s="15" t="inlineStr">
        <is>
          <t>Space</t>
        </is>
      </c>
      <c r="D102" s="15" t="inlineStr">
        <is>
          <t>04</t>
        </is>
      </c>
      <c r="E102" s="15" t="inlineStr">
        <is>
          <t>similarity_scale_factor</t>
        </is>
      </c>
      <c r="F102" s="15" t="inlineStr">
        <is>
          <t>y8_space_04_similarity_scale_factor_v2.html</t>
        </is>
      </c>
      <c r="G102" s="15" t="inlineStr">
        <is>
          <t>AC9M8SP01</t>
        </is>
      </c>
      <c r="H102" s="15" t="inlineStr">
        <is>
          <t>TODO: backfill (file meta missing)</t>
        </is>
      </c>
      <c r="I102" s="15" t="inlineStr">
        <is>
          <t>Inferred - file meta missing</t>
        </is>
      </c>
      <c r="J102" s="15" t="inlineStr">
        <is>
          <t>Congruency and similarity can be established and used for triangles and other shapes to describe position, location and properties</t>
        </is>
      </c>
      <c r="K102" s="15" t="inlineStr">
        <is>
          <t>Similarity scale factor</t>
        </is>
      </c>
      <c r="L102" s="15" t="inlineStr">
        <is>
          <t>matching</t>
        </is>
      </c>
      <c r="N102" s="15" t="inlineStr">
        <is>
          <t>Published</t>
        </is>
      </c>
      <c r="P102" s="15" t="inlineStr">
        <is>
          <t>https://seager94.github.io/year-8/space/y8_space_04_similarity_scale_factor_v2.html</t>
        </is>
      </c>
      <c r="Q102" s="15" t="inlineStr">
        <is>
          <t>Reconciled 2026-05-30; file meta missing - descriptor inferred, backfill meta+elaborations</t>
        </is>
      </c>
    </row>
    <row r="103" ht="15" customHeight="1" s="16">
      <c r="A103" s="15" t="inlineStr">
        <is>
          <t>y8_space_05</t>
        </is>
      </c>
      <c r="B103" s="15" t="n">
        <v>8</v>
      </c>
      <c r="C103" s="15" t="inlineStr">
        <is>
          <t>Space</t>
        </is>
      </c>
      <c r="D103" s="15" t="inlineStr">
        <is>
          <t>05</t>
        </is>
      </c>
      <c r="E103" s="15" t="inlineStr">
        <is>
          <t>aa_similarity</t>
        </is>
      </c>
      <c r="F103" s="15" t="inlineStr">
        <is>
          <t>y8_space_05_aa_similarity_v2.html</t>
        </is>
      </c>
      <c r="G103" s="15" t="inlineStr">
        <is>
          <t>AC9M8SP01</t>
        </is>
      </c>
      <c r="H103" s="15" t="inlineStr">
        <is>
          <t>TODO: backfill (file meta missing)</t>
        </is>
      </c>
      <c r="I103" s="15" t="inlineStr">
        <is>
          <t>Inferred - file meta missing</t>
        </is>
      </c>
      <c r="J103" s="15" t="inlineStr">
        <is>
          <t>Congruency and similarity can be established and used for triangles and other shapes to describe position, location and properties</t>
        </is>
      </c>
      <c r="K103" s="15" t="inlineStr">
        <is>
          <t>Aa similarity</t>
        </is>
      </c>
      <c r="L103" s="15" t="inlineStr">
        <is>
          <t>matching</t>
        </is>
      </c>
      <c r="N103" s="15" t="inlineStr">
        <is>
          <t>Published</t>
        </is>
      </c>
      <c r="P103" s="15" t="inlineStr">
        <is>
          <t>https://seager94.github.io/year-8/space/y8_space_05_aa_similarity_v2.html</t>
        </is>
      </c>
      <c r="Q103" s="15" t="inlineStr">
        <is>
          <t>Reconciled 2026-05-30; file meta missing - descriptor inferred, backfill meta+elaborations</t>
        </is>
      </c>
    </row>
    <row r="104" ht="15" customHeight="1" s="16">
      <c r="A104" s="15" t="inlineStr">
        <is>
          <t>y8_space_06</t>
        </is>
      </c>
      <c r="B104" s="15" t="n">
        <v>8</v>
      </c>
      <c r="C104" s="15" t="inlineStr">
        <is>
          <t>Space</t>
        </is>
      </c>
      <c r="D104" s="15" t="inlineStr">
        <is>
          <t>06</t>
        </is>
      </c>
      <c r="E104" s="15" t="inlineStr">
        <is>
          <t>other_shapes_congruence_similarity</t>
        </is>
      </c>
      <c r="F104" s="15" t="inlineStr">
        <is>
          <t>y8_space_06_other_shapes_congruence_similarity_v2.html</t>
        </is>
      </c>
      <c r="G104" s="15" t="inlineStr">
        <is>
          <t>AC9M8SP01</t>
        </is>
      </c>
      <c r="H104" s="15" t="inlineStr">
        <is>
          <t>TODO: backfill (file meta missing)</t>
        </is>
      </c>
      <c r="I104" s="15" t="inlineStr">
        <is>
          <t>Inferred - file meta missing</t>
        </is>
      </c>
      <c r="J104" s="15" t="inlineStr">
        <is>
          <t>Congruency and similarity can be established and used for triangles and other shapes to describe position, location and properties</t>
        </is>
      </c>
      <c r="K104" s="15" t="inlineStr">
        <is>
          <t>Other shapes congruence similarity</t>
        </is>
      </c>
      <c r="L104" s="15" t="inlineStr">
        <is>
          <t>matching</t>
        </is>
      </c>
      <c r="N104" s="15" t="inlineStr">
        <is>
          <t>Published</t>
        </is>
      </c>
      <c r="P104" s="15" t="inlineStr">
        <is>
          <t>https://seager94.github.io/year-8/space/y8_space_06_other_shapes_congruence_similarity_v2.html</t>
        </is>
      </c>
      <c r="Q104" s="15" t="inlineStr">
        <is>
          <t>Reconciled 2026-05-30; file meta missing - descriptor inferred, backfill meta+elaborations</t>
        </is>
      </c>
    </row>
    <row r="105" ht="15" customHeight="1" s="16">
      <c r="A105" s="15" t="inlineStr">
        <is>
          <t>y8_space_07</t>
        </is>
      </c>
      <c r="B105" s="15" t="n">
        <v>8</v>
      </c>
      <c r="C105" s="15" t="inlineStr">
        <is>
          <t>Space</t>
        </is>
      </c>
      <c r="D105" s="15" t="inlineStr">
        <is>
          <t>07</t>
        </is>
      </c>
      <c r="E105" s="15" t="inlineStr">
        <is>
          <t>congruence_similarity_algorithm</t>
        </is>
      </c>
      <c r="F105" s="15" t="inlineStr">
        <is>
          <t>y8_space_07_congruence_similarity_algorithm_v2.html</t>
        </is>
      </c>
      <c r="G105" s="15" t="inlineStr">
        <is>
          <t>AC9M8SP04</t>
        </is>
      </c>
      <c r="H105" s="15" t="inlineStr">
        <is>
          <t>TODO: backfill (file meta missing)</t>
        </is>
      </c>
      <c r="I105" s="15" t="inlineStr">
        <is>
          <t>Inferred - file meta missing</t>
        </is>
      </c>
      <c r="J105" s="15" t="inlineStr">
        <is>
          <t>Congruency and similarity can be established and used for triangles and other shapes to describe position, location and properties</t>
        </is>
      </c>
      <c r="K105" s="15" t="inlineStr">
        <is>
          <t>Congruence similarity algorithm</t>
        </is>
      </c>
      <c r="L105" s="15" t="inlineStr">
        <is>
          <t>strategy-MCQ</t>
        </is>
      </c>
      <c r="N105" s="15" t="inlineStr">
        <is>
          <t>Published</t>
        </is>
      </c>
      <c r="P105" s="15" t="inlineStr">
        <is>
          <t>https://seager94.github.io/year-8/space/y8_space_07_congruence_similarity_algorithm_v2.html</t>
        </is>
      </c>
      <c r="Q105" s="15" t="inlineStr">
        <is>
          <t>Reconciled 2026-05-30; file meta missing - descriptor inferred, backfill meta+elaborations</t>
        </is>
      </c>
    </row>
    <row r="106" ht="15" customHeight="1" s="16">
      <c r="A106" s="15" t="inlineStr">
        <is>
          <t>y8_space_08</t>
        </is>
      </c>
      <c r="B106" s="15" t="n">
        <v>8</v>
      </c>
      <c r="C106" s="15" t="inlineStr">
        <is>
          <t>Space</t>
        </is>
      </c>
      <c r="D106" s="15" t="inlineStr">
        <is>
          <t>08</t>
        </is>
      </c>
      <c r="E106" s="15" t="inlineStr">
        <is>
          <t>parallel_lines_angle_reasoning</t>
        </is>
      </c>
      <c r="F106" s="15" t="inlineStr">
        <is>
          <t>y8_space_08_parallel_lines_angle_reasoning_v2.html</t>
        </is>
      </c>
      <c r="G106" s="15" t="inlineStr">
        <is>
          <t>AC9M8SP02</t>
        </is>
      </c>
      <c r="H106" s="15" t="inlineStr">
        <is>
          <t>TODO: backfill (file meta missing)</t>
        </is>
      </c>
      <c r="I106" s="15" t="inlineStr">
        <is>
          <t>Inferred - file meta missing</t>
        </is>
      </c>
      <c r="J106" s="15" t="inlineStr">
        <is>
          <t>Relationships and properties of congruent and similar triangles can be used to deduce the properties of quadrilaterals</t>
        </is>
      </c>
      <c r="K106" s="15" t="inlineStr">
        <is>
          <t>Parallel lines angle reasoning</t>
        </is>
      </c>
      <c r="L106" s="15" t="inlineStr">
        <is>
          <t>auto-marked</t>
        </is>
      </c>
      <c r="N106" s="15" t="inlineStr">
        <is>
          <t>Published</t>
        </is>
      </c>
      <c r="P106" s="15" t="inlineStr">
        <is>
          <t>https://seager94.github.io/year-8/space/y8_space_08_parallel_lines_angle_reasoning_v2.html</t>
        </is>
      </c>
      <c r="Q106" s="15" t="inlineStr">
        <is>
          <t>Reconciled 2026-05-30; file meta missing - descriptor inferred, backfill meta+elaborations</t>
        </is>
      </c>
    </row>
    <row r="107" ht="15" customHeight="1" s="16">
      <c r="A107" s="15" t="inlineStr">
        <is>
          <t>y8_space_09</t>
        </is>
      </c>
      <c r="B107" s="15" t="n">
        <v>8</v>
      </c>
      <c r="C107" s="15" t="inlineStr">
        <is>
          <t>Space</t>
        </is>
      </c>
      <c r="D107" s="15" t="inlineStr">
        <is>
          <t>09</t>
        </is>
      </c>
      <c r="E107" s="15" t="inlineStr">
        <is>
          <t>parallelogram_properties_proof</t>
        </is>
      </c>
      <c r="F107" s="15" t="inlineStr">
        <is>
          <t>y8_space_09_parallelogram_properties_proof_v2.html</t>
        </is>
      </c>
      <c r="G107" s="15" t="inlineStr">
        <is>
          <t>AC9M8SP02</t>
        </is>
      </c>
      <c r="H107" s="15" t="inlineStr">
        <is>
          <t>TODO: backfill (file meta missing)</t>
        </is>
      </c>
      <c r="I107" s="15" t="inlineStr">
        <is>
          <t>Inferred - file meta missing</t>
        </is>
      </c>
      <c r="J107" s="15" t="inlineStr">
        <is>
          <t>Relationships and properties of congruent and similar triangles can be used to deduce the properties of quadrilaterals</t>
        </is>
      </c>
      <c r="K107" s="15" t="inlineStr">
        <is>
          <t>Parallelogram properties proof</t>
        </is>
      </c>
      <c r="L107" s="15" t="inlineStr">
        <is>
          <t>auto-marked</t>
        </is>
      </c>
      <c r="N107" s="15" t="inlineStr">
        <is>
          <t>Published</t>
        </is>
      </c>
      <c r="P107" s="15" t="inlineStr">
        <is>
          <t>https://seager94.github.io/year-8/space/y8_space_09_parallelogram_properties_proof_v2.html</t>
        </is>
      </c>
      <c r="Q107" s="15" t="inlineStr">
        <is>
          <t>Reconciled 2026-05-30; file meta missing - descriptor inferred, backfill meta+elaborations</t>
        </is>
      </c>
    </row>
    <row r="108" ht="15" customHeight="1" s="16">
      <c r="A108" s="15" t="inlineStr">
        <is>
          <t>y8_space_10</t>
        </is>
      </c>
      <c r="B108" s="15" t="n">
        <v>8</v>
      </c>
      <c r="C108" s="15" t="inlineStr">
        <is>
          <t>Space</t>
        </is>
      </c>
      <c r="D108" s="15" t="inlineStr">
        <is>
          <t>10</t>
        </is>
      </c>
      <c r="E108" s="15" t="inlineStr">
        <is>
          <t>rhombus_rectangle_square_properties</t>
        </is>
      </c>
      <c r="F108" s="15" t="inlineStr">
        <is>
          <t>y8_space_10_rhombus_rectangle_square_properties_v2.html</t>
        </is>
      </c>
      <c r="G108" s="15" t="inlineStr">
        <is>
          <t>AC9M8SP02</t>
        </is>
      </c>
      <c r="H108" s="15" t="inlineStr">
        <is>
          <t>TODO: backfill (file meta missing)</t>
        </is>
      </c>
      <c r="I108" s="15" t="inlineStr">
        <is>
          <t>Inferred - file meta missing</t>
        </is>
      </c>
      <c r="J108" s="15" t="inlineStr">
        <is>
          <t>Relationships and properties of congruent and similar triangles can be used to deduce the properties of quadrilaterals</t>
        </is>
      </c>
      <c r="K108" s="15" t="inlineStr">
        <is>
          <t>Rhombus rectangle square properties</t>
        </is>
      </c>
      <c r="L108" s="15" t="inlineStr">
        <is>
          <t>auto-marked</t>
        </is>
      </c>
      <c r="N108" s="15" t="inlineStr">
        <is>
          <t>Published</t>
        </is>
      </c>
      <c r="P108" s="15" t="inlineStr">
        <is>
          <t>https://seager94.github.io/year-8/space/y8_space_10_rhombus_rectangle_square_properties_v2.html</t>
        </is>
      </c>
      <c r="Q108" s="15" t="inlineStr">
        <is>
          <t>Reconciled 2026-05-30; file meta missing - descriptor inferred, backfill meta+elaborations</t>
        </is>
      </c>
    </row>
    <row r="109" ht="15" customHeight="1" s="16">
      <c r="A109" s="15" t="inlineStr">
        <is>
          <t>y8_space_11</t>
        </is>
      </c>
      <c r="B109" s="15" t="n">
        <v>8</v>
      </c>
      <c r="C109" s="15" t="inlineStr">
        <is>
          <t>Space</t>
        </is>
      </c>
      <c r="D109" s="15" t="inlineStr">
        <is>
          <t>11</t>
        </is>
      </c>
      <c r="E109" s="15" t="inlineStr">
        <is>
          <t>exterior_angles_of_polygons</t>
        </is>
      </c>
      <c r="F109" s="15" t="inlineStr">
        <is>
          <t>y8_spa_05_exterior_angles_of_polygons_v2.html</t>
        </is>
      </c>
      <c r="G109" s="15" t="inlineStr">
        <is>
          <t>AC9M8SP02</t>
        </is>
      </c>
      <c r="H109" s="15" t="inlineStr">
        <is>
          <t>1</t>
        </is>
      </c>
      <c r="I109" s="15" t="inlineStr">
        <is>
          <t>Strict</t>
        </is>
      </c>
      <c r="J109" s="15" t="inlineStr">
        <is>
          <t>Relationships and properties of congruent and similar triangles can be used to deduce the properties of quadrilaterals</t>
        </is>
      </c>
      <c r="K109" s="15" t="inlineStr">
        <is>
          <t>Establish that the sum of the exterior angles of any convex polygon is 360°; calculate exterior and interior angles of regular polygons; relate to the interior-angle formula from Y7.</t>
        </is>
      </c>
      <c r="L109" s="15" t="inlineStr">
        <is>
          <t>auto-marked</t>
        </is>
      </c>
      <c r="N109" s="15" t="inlineStr">
        <is>
          <t>Planned</t>
        </is>
      </c>
      <c r="Q109" s="15" t="inlineStr">
        <is>
          <t>Cross-strand: extends Y7 mea_10 interior-angle-sum work. | kept: built SP02 coverage unverifiable (file meta missing)</t>
        </is>
      </c>
    </row>
    <row r="110" ht="15" customHeight="1" s="16">
      <c r="A110" s="15" t="inlineStr">
        <is>
          <t>y8_space_12</t>
        </is>
      </c>
      <c r="B110" s="15" t="n">
        <v>8</v>
      </c>
      <c r="C110" s="15" t="inlineStr">
        <is>
          <t>Space</t>
        </is>
      </c>
      <c r="D110" s="15" t="inlineStr">
        <is>
          <t>12</t>
        </is>
      </c>
      <c r="E110" s="15" t="inlineStr">
        <is>
          <t>three_dimensional_coordinates</t>
        </is>
      </c>
      <c r="F110" s="15" t="inlineStr">
        <is>
          <t>y8_spa_06_three_dimensional_coordinates_v2.html</t>
        </is>
      </c>
      <c r="G110" s="15" t="inlineStr">
        <is>
          <t>AC9M8SP03</t>
        </is>
      </c>
      <c r="H110" s="15" t="inlineStr">
        <is>
          <t>1,2,3,4,5,6</t>
        </is>
      </c>
      <c r="I110" s="15" t="inlineStr">
        <is>
          <t>Strict</t>
        </is>
      </c>
      <c r="J110" s="15" t="inlineStr">
        <is>
          <t>Position and location of objects in 3 dimensions can be represented using a coordinate system</t>
        </is>
      </c>
      <c r="K110" s="15" t="inlineStr">
        <is>
          <t>Extend the Cartesian plane to a three-dimensional coordinate system (x, y, z); locate aircraft and drones using latitude, longitude and altitude; interpret coordinates in multi-storey carparks and play 3D Tic-Tac-Toe.</t>
        </is>
      </c>
      <c r="L110" s="15" t="inlineStr">
        <is>
          <t>auto-marked</t>
        </is>
      </c>
      <c r="N110" s="15" t="inlineStr">
        <is>
          <t>Planned</t>
        </is>
      </c>
      <c r="Q110" s="15" t="inlineStr">
        <is>
          <t>Extends Y7 alg_09 / spa_05 Cartesian work — prior-year prereq. | only uncovered descriptor</t>
        </is>
      </c>
    </row>
    <row r="111" ht="15" customHeight="1" s="16">
      <c r="A111" s="15" t="inlineStr">
        <is>
          <t>y8_sta_01</t>
        </is>
      </c>
      <c r="B111" s="15" t="n">
        <v>8</v>
      </c>
      <c r="C111" s="15" t="inlineStr">
        <is>
          <t>Statistics</t>
        </is>
      </c>
      <c r="D111" s="15" t="n">
        <v>1</v>
      </c>
      <c r="E111" s="15" t="inlineStr">
        <is>
          <t>census_vs_sample</t>
        </is>
      </c>
      <c r="F111" s="15" t="inlineStr">
        <is>
          <t>y8_sta_01_census_vs_sample_v2.html</t>
        </is>
      </c>
      <c r="G111" s="15" t="inlineStr">
        <is>
          <t>AC9M8ST01</t>
        </is>
      </c>
      <c r="H111" s="15" t="inlineStr">
        <is>
          <t>1</t>
        </is>
      </c>
      <c r="I111" s="15" t="inlineStr">
        <is>
          <t>Strict</t>
        </is>
      </c>
      <c r="J111" s="15" t="inlineStr">
        <is>
          <t>Valid inferences about populations can be made by drawing conclusions from representative samples</t>
        </is>
      </c>
      <c r="K111" s="15" t="inlineStr">
        <is>
          <t>Distinguish census from sample; identify when each is feasible or required; weigh the cost/accuracy/practicality trade-offs in survey design with realistic scenarios.</t>
        </is>
      </c>
      <c r="L111" s="15" t="inlineStr">
        <is>
          <t>strategy-MCQ</t>
        </is>
      </c>
      <c r="N111" s="15" t="inlineStr">
        <is>
          <t>Planned</t>
        </is>
      </c>
      <c r="Q111" s="15" t="inlineStr">
        <is>
          <t>Strategy-MCQ suits 'which method for this scenario?' question type.</t>
        </is>
      </c>
    </row>
    <row r="112" ht="15" customHeight="1" s="16">
      <c r="A112" s="15" t="inlineStr">
        <is>
          <t>y8_sta_02</t>
        </is>
      </c>
      <c r="B112" s="15" t="n">
        <v>8</v>
      </c>
      <c r="C112" s="15" t="inlineStr">
        <is>
          <t>Statistics</t>
        </is>
      </c>
      <c r="D112" s="15" t="n">
        <v>2</v>
      </c>
      <c r="E112" s="15" t="inlineStr">
        <is>
          <t>identifying_and_avoiding_bias</t>
        </is>
      </c>
      <c r="F112" s="15" t="inlineStr">
        <is>
          <t>y8_sta_02_identifying_and_avoiding_bias_v2.html</t>
        </is>
      </c>
      <c r="G112" s="15" t="inlineStr">
        <is>
          <t>AC9M8ST01</t>
        </is>
      </c>
      <c r="H112" s="15" t="inlineStr">
        <is>
          <t>3,4</t>
        </is>
      </c>
      <c r="I112" s="15" t="inlineStr">
        <is>
          <t>Strict</t>
        </is>
      </c>
      <c r="J112" s="15" t="inlineStr">
        <is>
          <t>Valid inferences about populations can be made by drawing conclusions from representative samples</t>
        </is>
      </c>
      <c r="K112" s="15" t="inlineStr">
        <is>
          <t>Recognise sampling bias, response bias and observer bias in real studies (e.g. shopping-centre surveys, online polls); discuss precision and error in digital measurement tools; suggest redesigns to reduce bias.</t>
        </is>
      </c>
      <c r="L112" s="15" t="inlineStr">
        <is>
          <t>strategy-MCQ</t>
        </is>
      </c>
      <c r="M112" s="15" t="inlineStr">
        <is>
          <t>y8_sta_01</t>
        </is>
      </c>
      <c r="N112" s="15" t="inlineStr">
        <is>
          <t>Planned</t>
        </is>
      </c>
    </row>
    <row r="113" ht="15" customHeight="1" s="16">
      <c r="A113" s="15" t="inlineStr">
        <is>
          <t>y8_sta_03</t>
        </is>
      </c>
      <c r="B113" s="15" t="n">
        <v>8</v>
      </c>
      <c r="C113" s="15" t="inlineStr">
        <is>
          <t>Statistics</t>
        </is>
      </c>
      <c r="D113" s="15" t="n">
        <v>3</v>
      </c>
      <c r="E113" s="15" t="inlineStr">
        <is>
          <t>sampling_methods_compared</t>
        </is>
      </c>
      <c r="F113" s="15" t="inlineStr">
        <is>
          <t>y8_sta_03_sampling_methods_compared_v2.html</t>
        </is>
      </c>
      <c r="G113" s="15" t="inlineStr">
        <is>
          <t>AC9M8ST02, AC9M8ST01</t>
        </is>
      </c>
      <c r="H113" s="15" t="inlineStr">
        <is>
          <t>1,2,3,4 (ST02); 2 (ST01)</t>
        </is>
      </c>
      <c r="I113" s="15" t="inlineStr">
        <is>
          <t>Strict + cross-tag</t>
        </is>
      </c>
      <c r="J113" s="15" t="inlineStr">
        <is>
          <t>A representative sample depends on the nature of the population and the question being considered</t>
        </is>
      </c>
      <c r="K113" s="15" t="inlineStr">
        <is>
          <t>Compare simple random, systematic, stratified, quota, cluster, convenience and judgement sampling; match the method to the population structure; define probabilistic terms — random, sample space, sample, sample distribution.</t>
        </is>
      </c>
      <c r="L113" s="15" t="inlineStr">
        <is>
          <t>matching</t>
        </is>
      </c>
      <c r="M113" s="15" t="inlineStr">
        <is>
          <t>y8_sta_01</t>
        </is>
      </c>
      <c r="N113" s="15" t="inlineStr">
        <is>
          <t>Planned</t>
        </is>
      </c>
      <c r="Q113" s="15" t="inlineStr">
        <is>
          <t>Matching suits 'method ↔ scenario' question type.</t>
        </is>
      </c>
    </row>
    <row r="114" ht="15" customHeight="1" s="16">
      <c r="A114" s="15" t="inlineStr">
        <is>
          <t>y8_sta_04</t>
        </is>
      </c>
      <c r="B114" s="15" t="n">
        <v>8</v>
      </c>
      <c r="C114" s="15" t="inlineStr">
        <is>
          <t>Statistics</t>
        </is>
      </c>
      <c r="D114" s="15" t="n">
        <v>4</v>
      </c>
      <c r="E114" s="15" t="inlineStr">
        <is>
          <t>sample_to_sample_variation</t>
        </is>
      </c>
      <c r="F114" s="15" t="inlineStr">
        <is>
          <t>y8_sta_04_sample_to_sample_variation_v2.html</t>
        </is>
      </c>
      <c r="G114" s="15" t="inlineStr">
        <is>
          <t>AC9M8ST03</t>
        </is>
      </c>
      <c r="H114" s="15" t="inlineStr">
        <is>
          <t>1,2,4</t>
        </is>
      </c>
      <c r="I114" s="15" t="inlineStr">
        <is>
          <t>Strict</t>
        </is>
      </c>
      <c r="J114" s="15" t="inlineStr">
        <is>
          <t>A representative sample depends on the nature of the population and the question being considered</t>
        </is>
      </c>
      <c r="K114" s="15" t="inlineStr">
        <is>
          <t>Use simulations to draw repeated samples from a known population; observe how mean, median and range vary between samples of the same size; investigate the effect of adding or removing data on central tendency and spread.</t>
        </is>
      </c>
      <c r="L114" s="15" t="inlineStr">
        <is>
          <t>auto-marked + open-ended</t>
        </is>
      </c>
      <c r="M114" s="15" t="inlineStr">
        <is>
          <t>y8_sta_03</t>
        </is>
      </c>
      <c r="N114" s="15" t="inlineStr">
        <is>
          <t>Planned</t>
        </is>
      </c>
    </row>
    <row r="115" ht="15" customHeight="1" s="16">
      <c r="A115" s="15" t="inlineStr">
        <is>
          <t>y8_sta_05</t>
        </is>
      </c>
      <c r="B115" s="15" t="n">
        <v>8</v>
      </c>
      <c r="C115" s="15" t="inlineStr">
        <is>
          <t>Statistics</t>
        </is>
      </c>
      <c r="D115" s="15" t="n">
        <v>5</v>
      </c>
      <c r="E115" s="15" t="inlineStr">
        <is>
          <t>effect_of_sample_size</t>
        </is>
      </c>
      <c r="F115" s="15" t="inlineStr">
        <is>
          <t>y8_sta_05_effect_of_sample_size_v2.html</t>
        </is>
      </c>
      <c r="G115" s="15" t="inlineStr">
        <is>
          <t>AC9M8ST03</t>
        </is>
      </c>
      <c r="H115" s="15" t="inlineStr">
        <is>
          <t>1,3,5</t>
        </is>
      </c>
      <c r="I115" s="15" t="inlineStr">
        <is>
          <t>Strict</t>
        </is>
      </c>
      <c r="J115" s="15" t="inlineStr">
        <is>
          <t>A representative sample depends on the nature of the population and the question being considered</t>
        </is>
      </c>
      <c r="K115" s="15" t="inlineStr">
        <is>
          <t>Compare the variation of sample statistics for small vs large samples; relate to reliability of inferences; use relative frequencies from historical data; investigate First Nations Ranger Group sampling for biodiversity tracking.</t>
        </is>
      </c>
      <c r="L115" s="15" t="inlineStr">
        <is>
          <t>auto-marked + open-ended</t>
        </is>
      </c>
      <c r="M115" s="15" t="inlineStr">
        <is>
          <t>y8_sta_04</t>
        </is>
      </c>
      <c r="N115" s="15" t="inlineStr">
        <is>
          <t>Planned</t>
        </is>
      </c>
    </row>
    <row r="116" ht="15" customHeight="1" s="16">
      <c r="A116" s="15" t="inlineStr">
        <is>
          <t>y8_sta_06</t>
        </is>
      </c>
      <c r="B116" s="15" t="n">
        <v>8</v>
      </c>
      <c r="C116" s="15" t="inlineStr">
        <is>
          <t>Statistics</t>
        </is>
      </c>
      <c r="D116" s="15" t="n">
        <v>6</v>
      </c>
      <c r="E116" s="15" t="inlineStr">
        <is>
          <t>statistical_investigation_with_sampling</t>
        </is>
      </c>
      <c r="F116" s="15" t="inlineStr">
        <is>
          <t>y8_sta_06_statistical_investigation_with_sampling_v2.html</t>
        </is>
      </c>
      <c r="G116" s="15" t="inlineStr">
        <is>
          <t>AC9M8ST04</t>
        </is>
      </c>
      <c r="H116" s="15" t="inlineStr">
        <is>
          <t>1,2,3</t>
        </is>
      </c>
      <c r="I116" s="15" t="inlineStr">
        <is>
          <t>Strict</t>
        </is>
      </c>
      <c r="J116" s="15" t="inlineStr">
        <is>
          <t>Valid inferences about populations can be made by drawing conclusions from representative samples</t>
        </is>
      </c>
      <c r="K116" s="15"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s="15" t="inlineStr">
        <is>
          <t>auto-marked + open-ended</t>
        </is>
      </c>
      <c r="M116" s="15" t="inlineStr">
        <is>
          <t>y8_sta_03,y8_sta_05</t>
        </is>
      </c>
      <c r="N116" s="15" t="inlineStr">
        <is>
          <t>Planned</t>
        </is>
      </c>
      <c r="Q116" s="15" t="inlineStr">
        <is>
          <t>Capstone — mirrors Y7 sta_05 but now with explicit sample design.</t>
        </is>
      </c>
    </row>
    <row r="117" ht="15" customHeight="1" s="16">
      <c r="A117" s="15" t="inlineStr">
        <is>
          <t>y8_pro_01</t>
        </is>
      </c>
      <c r="B117" s="15" t="n">
        <v>8</v>
      </c>
      <c r="C117" s="15" t="inlineStr">
        <is>
          <t>Probability</t>
        </is>
      </c>
      <c r="D117" s="15" t="n">
        <v>1</v>
      </c>
      <c r="E117" s="15" t="inlineStr">
        <is>
          <t>complementary_events</t>
        </is>
      </c>
      <c r="F117" s="15" t="inlineStr">
        <is>
          <t>y8_pro_01_complementary_events_v2.html</t>
        </is>
      </c>
      <c r="G117" s="15" t="inlineStr">
        <is>
          <t>AC9M8P01</t>
        </is>
      </c>
      <c r="H117" s="15" t="inlineStr">
        <is>
          <t>1,2,3</t>
        </is>
      </c>
      <c r="I117" s="15" t="inlineStr">
        <is>
          <t>Strict</t>
        </is>
      </c>
      <c r="J117" s="15" t="inlineStr">
        <is>
          <t>Complementary events in an experiment are mutually exclusive and together cover all possible outcomes</t>
        </is>
      </c>
      <c r="K117" s="15" t="inlineStr">
        <is>
          <t>Recognise that P(A) + P(not A) = 1; use the complement to calculate probabilities of events that are not equally likely, including supermarket-promotion and dice contexts (P(not 6) = 5/6).</t>
        </is>
      </c>
      <c r="L117" s="15" t="inlineStr">
        <is>
          <t>auto-marked</t>
        </is>
      </c>
      <c r="N117" s="15" t="inlineStr">
        <is>
          <t>Planned</t>
        </is>
      </c>
    </row>
    <row r="118" ht="15" customHeight="1" s="16">
      <c r="A118" s="15" t="inlineStr">
        <is>
          <t>y8_pro_02</t>
        </is>
      </c>
      <c r="B118" s="15" t="n">
        <v>8</v>
      </c>
      <c r="C118" s="15" t="inlineStr">
        <is>
          <t>Probability</t>
        </is>
      </c>
      <c r="D118" s="15" t="n">
        <v>2</v>
      </c>
      <c r="E118" s="15" t="inlineStr">
        <is>
          <t>two_way_tables_and_venn_diagrams</t>
        </is>
      </c>
      <c r="F118" s="15" t="inlineStr">
        <is>
          <t>y8_pro_02_two_way_tables_and_venn_diagrams_v2.html</t>
        </is>
      </c>
      <c r="G118" s="15" t="inlineStr">
        <is>
          <t>AC9M8P02</t>
        </is>
      </c>
      <c r="H118" s="15" t="inlineStr">
        <is>
          <t>1,3</t>
        </is>
      </c>
      <c r="I118" s="15" t="inlineStr">
        <is>
          <t>Strict</t>
        </is>
      </c>
      <c r="J118" s="15" t="inlineStr">
        <is>
          <t>The sample space for 2 events can be presented diagrammatically in a variety of ways to determine the probabilities of specific outcomes, including compound events</t>
        </is>
      </c>
      <c r="K118" s="15" t="inlineStr">
        <is>
          <t>Construct two-way tables and Venn diagrams for two events; calculate probabilities involving 'and', exclusive 'or', inclusive 'or' using language precisely; populate tables from word problems.</t>
        </is>
      </c>
      <c r="L118" s="15" t="inlineStr">
        <is>
          <t>auto-marked</t>
        </is>
      </c>
      <c r="M118" s="15" t="inlineStr">
        <is>
          <t>y8_pro_01</t>
        </is>
      </c>
      <c r="N118" s="15" t="inlineStr">
        <is>
          <t>Planned</t>
        </is>
      </c>
    </row>
    <row r="119" ht="15" customHeight="1" s="16">
      <c r="A119" s="15" t="inlineStr">
        <is>
          <t>y8_pro_03</t>
        </is>
      </c>
      <c r="B119" s="15" t="n">
        <v>8</v>
      </c>
      <c r="C119" s="15" t="inlineStr">
        <is>
          <t>Probability</t>
        </is>
      </c>
      <c r="D119" s="15" t="n">
        <v>3</v>
      </c>
      <c r="E119" s="15" t="inlineStr">
        <is>
          <t>mutually_exclusive_and_inclusive_events</t>
        </is>
      </c>
      <c r="F119" s="15" t="inlineStr">
        <is>
          <t>y8_pro_03_mutually_exclusive_and_inclusive_events_v2.html</t>
        </is>
      </c>
      <c r="G119" s="15" t="inlineStr">
        <is>
          <t>AC9M8P02</t>
        </is>
      </c>
      <c r="H119" s="15" t="inlineStr">
        <is>
          <t>2,3,4</t>
        </is>
      </c>
      <c r="I119" s="15" t="inlineStr">
        <is>
          <t>Strict</t>
        </is>
      </c>
      <c r="J119" s="15" t="inlineStr">
        <is>
          <t>The sample space for 2 events can be presented diagrammatically in a variety of ways to determine the probabilities of specific outcomes, including compound events</t>
        </is>
      </c>
      <c r="K119" s="15" t="inlineStr">
        <is>
          <t>Distinguish mutually exclusive events (P(A and B) = 0) from inclusive events; apply Pr(A and B) + Pr(A and not B) + Pr(not A and B) + Pr(not A and not B) = 1; explore the Battendi game from the Ngarrindjeri Peoples.</t>
        </is>
      </c>
      <c r="L119" s="15" t="inlineStr">
        <is>
          <t>auto-marked</t>
        </is>
      </c>
      <c r="M119" s="15" t="inlineStr">
        <is>
          <t>y8_pro_02</t>
        </is>
      </c>
      <c r="N119" s="15" t="inlineStr">
        <is>
          <t>Planned</t>
        </is>
      </c>
    </row>
    <row r="120" ht="15" customHeight="1" s="16">
      <c r="A120" s="15" t="inlineStr">
        <is>
          <t>y8_pro_04</t>
        </is>
      </c>
      <c r="B120" s="15" t="n">
        <v>8</v>
      </c>
      <c r="C120" s="15" t="inlineStr">
        <is>
          <t>Probability</t>
        </is>
      </c>
      <c r="D120" s="15" t="n">
        <v>4</v>
      </c>
      <c r="E120" s="15" t="inlineStr">
        <is>
          <t>simulating_compound_events</t>
        </is>
      </c>
      <c r="F120" s="15" t="inlineStr">
        <is>
          <t>y8_pro_04_simulating_compound_events_v2.html</t>
        </is>
      </c>
      <c r="G120" s="15" t="inlineStr">
        <is>
          <t>AC9M8P03</t>
        </is>
      </c>
      <c r="H120" s="15" t="inlineStr">
        <is>
          <t>1,2,3</t>
        </is>
      </c>
      <c r="I120" s="15" t="inlineStr">
        <is>
          <t>Strict</t>
        </is>
      </c>
      <c r="J120" s="15" t="inlineStr">
        <is>
          <t>The sample space for 2 events can be presented diagrammatically in a variety of ways to determine the probabilities of specific outcomes, including compound events</t>
        </is>
      </c>
      <c r="K120" s="15" t="inlineStr">
        <is>
          <t>Use digital random-number generators to simulate compound events; compare experimental probabilities with theoretical predictions; investigate the dice-difference experiment to see which differences occur most often.</t>
        </is>
      </c>
      <c r="L120" s="15" t="inlineStr">
        <is>
          <t>auto-marked + open-ended</t>
        </is>
      </c>
      <c r="M120" s="15" t="inlineStr">
        <is>
          <t>y8_pro_03</t>
        </is>
      </c>
      <c r="N120" s="15" t="inlineStr">
        <is>
          <t>Planned</t>
        </is>
      </c>
      <c r="Q120" s="15" t="inlineStr">
        <is>
          <t>Builds on Y7 pro_03 (simulation work) with two-event compound focus.</t>
        </is>
      </c>
    </row>
    <row r="121" ht="15" customHeight="1" s="16">
      <c r="A121" s="15" t="inlineStr">
        <is>
          <t>y9_num_01</t>
        </is>
      </c>
      <c r="B121" s="15" t="n">
        <v>9</v>
      </c>
      <c r="C121" s="15" t="inlineStr">
        <is>
          <t>Number</t>
        </is>
      </c>
      <c r="D121" s="15" t="n">
        <v>1</v>
      </c>
      <c r="E121" s="15" t="inlineStr">
        <is>
          <t>the_real_number_system_and_number_line</t>
        </is>
      </c>
      <c r="F121" s="15" t="inlineStr">
        <is>
          <t>y9_num_01_the_real_number_system_and_number_line_v2.html</t>
        </is>
      </c>
      <c r="G121" s="15" t="inlineStr">
        <is>
          <t>AC9M9N01</t>
        </is>
      </c>
      <c r="H121" s="15" t="inlineStr">
        <is>
          <t>1,2,5</t>
        </is>
      </c>
      <c r="I121" s="15" t="inlineStr">
        <is>
          <t>Strict</t>
        </is>
      </c>
      <c r="J121" s="15" t="inlineStr">
        <is>
          <t>Rational and irrational numbers can be represented in many forms, including on a number line, and can be used to find exact and approximate values</t>
        </is>
      </c>
      <c r="K121" s="15"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s="15" t="inlineStr">
        <is>
          <t>auto-marked</t>
        </is>
      </c>
      <c r="N121" s="15" t="inlineStr">
        <is>
          <t>Planned</t>
        </is>
      </c>
      <c r="Q121" s="15" t="inlineStr">
        <is>
          <t>Builds on Y8 num_01/02 introduction of irrationals. Inequality-interval representation extends Y8 alg_08.</t>
        </is>
      </c>
    </row>
    <row r="122" ht="15" customHeight="1" s="16">
      <c r="A122" s="15" t="inlineStr">
        <is>
          <t>y9_num_02</t>
        </is>
      </c>
      <c r="B122" s="15" t="n">
        <v>9</v>
      </c>
      <c r="C122" s="15" t="inlineStr">
        <is>
          <t>Number</t>
        </is>
      </c>
      <c r="D122" s="15" t="n">
        <v>2</v>
      </c>
      <c r="E122" s="15" t="inlineStr">
        <is>
          <t>exact_form_calculations_and_budgeting</t>
        </is>
      </c>
      <c r="F122" s="15" t="inlineStr">
        <is>
          <t>y9_num_02_exact_form_calculations_and_budgeting_v2.html</t>
        </is>
      </c>
      <c r="G122" s="15" t="inlineStr">
        <is>
          <t>AC9M9N01</t>
        </is>
      </c>
      <c r="H122" s="15" t="inlineStr">
        <is>
          <t>3,4</t>
        </is>
      </c>
      <c r="I122" s="15" t="inlineStr">
        <is>
          <t>Strict</t>
        </is>
      </c>
      <c r="J122" s="15" t="inlineStr">
        <is>
          <t>Rational and irrational numbers can be represented in many forms, including on a number line, and can be used to find exact and approximate values</t>
        </is>
      </c>
      <c r="K122" s="15" t="inlineStr">
        <is>
          <t>Substitute real numbers into formulas including A = πr² and the distance formula; choose between exact form (in terms of π or with surds) and decimal approximations as the context demands; solve budgeting problems with positive and negative rationals.</t>
        </is>
      </c>
      <c r="L122" s="15" t="inlineStr">
        <is>
          <t>auto-marked</t>
        </is>
      </c>
      <c r="M122" s="15" t="inlineStr">
        <is>
          <t>y9_num_01</t>
        </is>
      </c>
      <c r="N122" s="15" t="inlineStr">
        <is>
          <t>Planned</t>
        </is>
      </c>
      <c r="Q122" s="15" t="inlineStr">
        <is>
          <t>Exact-form discipline is the new emphasis here vs Y8 — don't round prematurely.</t>
        </is>
      </c>
    </row>
    <row r="123" ht="15" customHeight="1" s="16">
      <c r="A123" s="15" t="inlineStr">
        <is>
          <t>y9_alg_01</t>
        </is>
      </c>
      <c r="B123" s="15" t="n">
        <v>9</v>
      </c>
      <c r="C123" s="15" t="inlineStr">
        <is>
          <t>Algebra</t>
        </is>
      </c>
      <c r="D123" s="15" t="n">
        <v>1</v>
      </c>
      <c r="E123" s="15" t="inlineStr">
        <is>
          <t>index_laws_product_quotient_power</t>
        </is>
      </c>
      <c r="F123" s="15" t="inlineStr">
        <is>
          <t>y9_alg_01_index_laws_product_quotient_power_v2.html</t>
        </is>
      </c>
      <c r="G123" s="15" t="inlineStr">
        <is>
          <t>AC9M9A01</t>
        </is>
      </c>
      <c r="H123" s="15" t="inlineStr">
        <is>
          <t>3,5</t>
        </is>
      </c>
      <c r="I123" s="15" t="inlineStr">
        <is>
          <t>Partial - this lesson covers the product, quotient and power-of-a-power laws with numerical bases</t>
        </is>
      </c>
      <c r="J123" s="15" t="inlineStr">
        <is>
          <t>Expressions involving exponent notation with integer or variable bases can be simplified or represented differently using the law of exponents</t>
        </is>
      </c>
      <c r="K123" s="15" t="inlineStr">
        <is>
          <t>Derive the product, quotient and power-of-a-power laws from first principles by counting repeated factors; worked examples 2^3 x 2^4, 7^5 / 7^2, (5^2)^3, (a^2)^3; Stretch/Mastery combine two or three laws and push to impractical-to-evaluate exponents.</t>
        </is>
      </c>
      <c r="L123" s="15" t="inlineStr">
        <is>
          <t>auto-marked</t>
        </is>
      </c>
      <c r="M123" s="15" t="inlineStr">
        <is>
          <t>None</t>
        </is>
      </c>
      <c r="N123" s="15" t="inlineStr">
        <is>
          <t>Published</t>
        </is>
      </c>
      <c r="O123" s="15" t="inlineStr">
        <is>
          <t>2026-05-31</t>
        </is>
      </c>
      <c r="P123" s="15" t="inlineStr">
        <is>
          <t>https://seager94.github.io/year-9/algebra/y9_alg_01_index_laws_product_quotient_power_v2.html</t>
        </is>
      </c>
      <c r="Q123" s="15" t="inlineStr">
        <is>
          <t>Built 2026-05-31 (remote batch y9-alg-01). NEW lesson not in original plan - index laws given own dedicated lesson, shifting the A01/A02 sequence down by one.</t>
        </is>
      </c>
    </row>
    <row r="124" ht="15" customHeight="1" s="16">
      <c r="A124" s="15" t="inlineStr">
        <is>
          <t>y9_alg_02</t>
        </is>
      </c>
      <c r="B124" s="15" t="n">
        <v>9</v>
      </c>
      <c r="C124" s="15" t="inlineStr">
        <is>
          <t>Algebra</t>
        </is>
      </c>
      <c r="D124" s="15" t="n">
        <v>2</v>
      </c>
      <c r="E124" s="15" t="inlineStr">
        <is>
          <t>zero_and_negative_indices</t>
        </is>
      </c>
      <c r="F124" s="15" t="inlineStr">
        <is>
          <t>y9_alg_02_zero_and_negative_indices_v2.html</t>
        </is>
      </c>
      <c r="G124" s="15" t="inlineStr">
        <is>
          <t>AC9M9A01</t>
        </is>
      </c>
      <c r="H124" s="15" t="inlineStr">
        <is>
          <t>2,4</t>
        </is>
      </c>
      <c r="I124" s="15" t="inlineStr">
        <is>
          <t>Partial - this lesson covers the zero index and negative integer exponents</t>
        </is>
      </c>
      <c r="J124" s="15" t="inlineStr">
        <is>
          <t>Expressions involving exponent notation with integer or variable bases can be simplified or represented differently using the law of exponents</t>
        </is>
      </c>
      <c r="K124" s="15" t="inlineStr">
        <is>
          <t>Descending-powers pattern (2^3...2^-2) forces 2^0=1 and reciprocal negatives; worked examples 5^-3, (1/3)^-2, x^0; Always/Sometimes/Never targets the x^0=0 and negative-index-means-negative misconceptions.</t>
        </is>
      </c>
      <c r="L124" s="15" t="inlineStr">
        <is>
          <t>auto-marked</t>
        </is>
      </c>
      <c r="M124" s="15" t="inlineStr">
        <is>
          <t>y9_alg_01</t>
        </is>
      </c>
      <c r="N124" s="15" t="inlineStr">
        <is>
          <t>Published</t>
        </is>
      </c>
      <c r="O124" s="15" t="inlineStr">
        <is>
          <t>2026-05-31</t>
        </is>
      </c>
      <c r="P124" s="15" t="inlineStr">
        <is>
          <t>https://seager94.github.io/year-9/algebra/y9_alg_02_zero_and_negative_indices_v2.html</t>
        </is>
      </c>
      <c r="Q124" s="15" t="inlineStr">
        <is>
          <t>Built 2026-05-31 (remote batch y9-alg-01). Covers planned-01 negative_integer_exponents content.</t>
        </is>
      </c>
    </row>
    <row r="125" ht="15" customHeight="1" s="16">
      <c r="A125" s="15" t="inlineStr">
        <is>
          <t>y9_alg_03</t>
        </is>
      </c>
      <c r="B125" s="15" t="n">
        <v>9</v>
      </c>
      <c r="C125" s="15" t="inlineStr">
        <is>
          <t>Algebra</t>
        </is>
      </c>
      <c r="D125" s="15" t="n">
        <v>3</v>
      </c>
      <c r="E125" s="15" t="inlineStr">
        <is>
          <t>index_laws_with_variables</t>
        </is>
      </c>
      <c r="F125" s="15" t="inlineStr">
        <is>
          <t>y9_alg_03_index_laws_with_variables_v2.html</t>
        </is>
      </c>
      <c r="G125" s="15" t="inlineStr">
        <is>
          <t>AC9M9A01</t>
        </is>
      </c>
      <c r="H125" s="15" t="inlineStr">
        <is>
          <t>6</t>
        </is>
      </c>
      <c r="I125" s="15" t="inlineStr">
        <is>
          <t>Partial - this lesson covers applying the exponent laws to algebraic terms with variable bases</t>
        </is>
      </c>
      <c r="J125" s="15" t="inlineStr">
        <is>
          <t>Expressions involving exponent notation with integer or variable bases can be simplified or represented differently using the law of exponents</t>
        </is>
      </c>
      <c r="K125" s="15" t="inlineStr">
        <is>
          <t>Same laws on algebraic terms - coefficient and variable parts handled separately; worked examples 3x^2 x 4x^3, 12a^5/3a^2, (2x)^3, (2xy)^3/(xy^4); coefficient-vs-exponent confusion targeted explicitly.</t>
        </is>
      </c>
      <c r="L125" s="15" t="inlineStr">
        <is>
          <t>auto-marked</t>
        </is>
      </c>
      <c r="M125" s="15" t="inlineStr">
        <is>
          <t>y9_alg_02</t>
        </is>
      </c>
      <c r="N125" s="15" t="inlineStr">
        <is>
          <t>Published</t>
        </is>
      </c>
      <c r="O125" s="15" t="inlineStr">
        <is>
          <t>2026-05-31</t>
        </is>
      </c>
      <c r="P125" s="15" t="inlineStr">
        <is>
          <t>https://seager94.github.io/year-9/algebra/y9_alg_03_index_laws_with_variables_v2.html</t>
        </is>
      </c>
      <c r="Q125" s="15" t="inlineStr">
        <is>
          <t>Built 2026-05-31 (local, remote hit 32k token cap). Covers planned-02 exponent_laws_with_variables content.</t>
        </is>
      </c>
    </row>
    <row r="126" ht="15" customHeight="1" s="16">
      <c r="A126" s="15" t="inlineStr">
        <is>
          <t>y9_alg_04</t>
        </is>
      </c>
      <c r="B126" s="15" t="n">
        <v>9</v>
      </c>
      <c r="C126" s="15" t="inlineStr">
        <is>
          <t>Algebra</t>
        </is>
      </c>
      <c r="D126" s="15" t="n">
        <v>4</v>
      </c>
      <c r="E126" s="15" t="inlineStr">
        <is>
          <t>expanding_binomial_products</t>
        </is>
      </c>
      <c r="F126" s="15" t="inlineStr">
        <is>
          <t>y9_alg_04_expanding_binomial_products_v2.html</t>
        </is>
      </c>
      <c r="G126" s="15" t="inlineStr">
        <is>
          <t>AC9M9A02</t>
        </is>
      </c>
      <c r="H126" s="15" t="inlineStr">
        <is>
          <t>1,2</t>
        </is>
      </c>
      <c r="I126" s="15" t="inlineStr">
        <is>
          <t>Partial - this lesson covers expanding binomial products</t>
        </is>
      </c>
      <c r="J126" s="15" t="inlineStr">
        <is>
          <t>The parameters of quadratics and other functions determine the features of the related graph and can be adjusted depending on the purpose, context and application</t>
        </is>
      </c>
      <c r="K126" s="15" t="inlineStr">
        <is>
          <t>Expand (x+a)(x+b) via area model and distributive property; recognise x^2+(a+b)x+ab pattern.</t>
        </is>
      </c>
      <c r="L126" s="15" t="inlineStr">
        <is>
          <t>auto-marked</t>
        </is>
      </c>
      <c r="M126" s="15" t="inlineStr">
        <is>
          <t>y9_alg_03</t>
        </is>
      </c>
      <c r="N126" s="15" t="inlineStr">
        <is>
          <t>Published</t>
        </is>
      </c>
      <c r="O126" s="15" t="inlineStr">
        <is>
          <t>2026-05-31</t>
        </is>
      </c>
      <c r="P126" s="15" t="inlineStr">
        <is>
          <t>https://seager94.github.io/year-9/algebra/y9_alg_04_expanding_binomial_products_v2.html</t>
        </is>
      </c>
      <c r="Q126" s="15" t="inlineStr">
        <is>
          <t>Built 2026-05-31 (remote batch y9-alg-02). Covers planned-03 expanding_binomial_products content.</t>
        </is>
      </c>
    </row>
    <row r="127" ht="15" customHeight="1" s="16">
      <c r="A127" s="15" t="inlineStr">
        <is>
          <t>y9_alg_05</t>
        </is>
      </c>
      <c r="B127" s="15" t="n">
        <v>9</v>
      </c>
      <c r="C127" s="15" t="inlineStr">
        <is>
          <t>Algebra</t>
        </is>
      </c>
      <c r="D127" s="15" t="n">
        <v>5</v>
      </c>
      <c r="E127" s="15" t="inlineStr">
        <is>
          <t>special_products</t>
        </is>
      </c>
      <c r="F127" s="15" t="inlineStr">
        <is>
          <t>y9_alg_05_special_products_v2.html</t>
        </is>
      </c>
      <c r="G127" s="15" t="inlineStr">
        <is>
          <t>AC9M9A02</t>
        </is>
      </c>
      <c r="H127" s="15" t="inlineStr">
        <is>
          <t>1</t>
        </is>
      </c>
      <c r="I127" s="15" t="inlineStr">
        <is>
          <t>Partial - this lesson covers the special products perfect squares and difference of two squares</t>
        </is>
      </c>
      <c r="J127" s="15" t="inlineStr">
        <is>
          <t>The parameters of quadratics and other functions determine the features of the related graph and can be adjusted depending on the purpose, context and application</t>
        </is>
      </c>
      <c r="K127" s="15" t="inlineStr">
        <is>
          <t>Perfect-square (x+a)^2 and difference-of-two-squares (x-a)(x+a)=x^2-a^2 patterns.</t>
        </is>
      </c>
      <c r="L127" s="15" t="inlineStr">
        <is>
          <t>auto-marked</t>
        </is>
      </c>
      <c r="M127" s="15" t="inlineStr">
        <is>
          <t>y9_alg_04</t>
        </is>
      </c>
      <c r="N127" s="15" t="inlineStr">
        <is>
          <t>Published</t>
        </is>
      </c>
      <c r="O127" s="15" t="inlineStr">
        <is>
          <t>2026-05-31</t>
        </is>
      </c>
      <c r="P127" s="15" t="inlineStr">
        <is>
          <t>https://seager94.github.io/year-9/algebra/y9_alg_05_special_products_v2.html</t>
        </is>
      </c>
      <c r="Q127" s="15" t="inlineStr">
        <is>
          <t>Built 2026-05-31 (remote batch y9-alg-02). Aligns with planned-05 equivalent-quadratics/DOTS content.</t>
        </is>
      </c>
    </row>
    <row r="128" ht="15" customHeight="1" s="16">
      <c r="A128" s="15" t="inlineStr">
        <is>
          <t>y9_alg_06</t>
        </is>
      </c>
      <c r="B128" s="15" t="n">
        <v>9</v>
      </c>
      <c r="C128" s="15" t="inlineStr">
        <is>
          <t>Algebra</t>
        </is>
      </c>
      <c r="D128" s="15" t="n">
        <v>6</v>
      </c>
      <c r="E128" s="15" t="inlineStr">
        <is>
          <t>factorising_monic_quadratics</t>
        </is>
      </c>
      <c r="F128" s="15" t="inlineStr">
        <is>
          <t>y9_alg_06_factorising_monic_quadratics_v2.html</t>
        </is>
      </c>
      <c r="G128" s="15" t="inlineStr">
        <is>
          <t>AC9M9A02</t>
        </is>
      </c>
      <c r="H128" s="15" t="inlineStr">
        <is>
          <t>2,3</t>
        </is>
      </c>
      <c r="I128" s="15" t="inlineStr">
        <is>
          <t>Partial - this lesson covers factorising monic quadratic expressions</t>
        </is>
      </c>
      <c r="J128" s="15" t="inlineStr">
        <is>
          <t>The parameters of quadratics and other functions determine the features of the related graph and can be adjusted depending on the purpose, context and application</t>
        </is>
      </c>
      <c r="K128" s="15" t="inlineStr">
        <is>
          <t>Factorise x^2+mx+n via the integer pair multiplying to n and adding to m; verify by re-expanding.</t>
        </is>
      </c>
      <c r="L128" s="15" t="inlineStr">
        <is>
          <t>auto-marked</t>
        </is>
      </c>
      <c r="M128" s="15" t="inlineStr">
        <is>
          <t>y9_alg_05</t>
        </is>
      </c>
      <c r="N128" s="15" t="inlineStr">
        <is>
          <t>Published</t>
        </is>
      </c>
      <c r="O128" s="15" t="inlineStr">
        <is>
          <t>2026-05-31</t>
        </is>
      </c>
      <c r="P128" s="15" t="inlineStr">
        <is>
          <t>https://seager94.github.io/year-9/algebra/y9_alg_06_factorising_monic_quadratics_v2.html</t>
        </is>
      </c>
      <c r="Q128" s="15"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6">
      <c r="A129" s="15" t="inlineStr">
        <is>
          <t>y9_alg_07</t>
        </is>
      </c>
      <c r="B129" s="15" t="n">
        <v>9</v>
      </c>
      <c r="C129" s="15" t="inlineStr">
        <is>
          <t>Algebra</t>
        </is>
      </c>
      <c r="D129" s="15" t="n">
        <v>7</v>
      </c>
      <c r="E129" s="15" t="inlineStr">
        <is>
          <t>gradient_of_a_line_segment</t>
        </is>
      </c>
      <c r="F129" s="15" t="inlineStr">
        <is>
          <t>y9_alg_07_gradient_of_a_line_segment_v2.html</t>
        </is>
      </c>
      <c r="G129" s="15" t="inlineStr">
        <is>
          <t>AC9M9A03</t>
        </is>
      </c>
      <c r="H129" s="15" t="inlineStr">
        <is>
          <t>1,5</t>
        </is>
      </c>
      <c r="I129" s="15" t="inlineStr">
        <is>
          <t>Partial - this lesson covers finding the gradient of a line segment</t>
        </is>
      </c>
      <c r="J129" s="15" t="inlineStr">
        <is>
          <t>On a Cartesian plane, the coordinates of 2 distinct points can be used to determine a range of measures of their orientation in relation to each other</t>
        </is>
      </c>
      <c r="K129" s="15" t="inlineStr">
        <is>
          <t>Gradient as rise over run, derived from two plotted points with a rise/run right triangle; positive, negative and zero gradients; real contexts (ramps, escalators, skateboard ramps); Slider widget to drag endpoints and watch the gradient update.</t>
        </is>
      </c>
      <c r="L129" s="15" t="inlineStr">
        <is>
          <t>auto-marked</t>
        </is>
      </c>
      <c r="M129" s="15" t="inlineStr">
        <is>
          <t>y9_alg_06</t>
        </is>
      </c>
      <c r="N129" s="15" t="inlineStr">
        <is>
          <t>Planned</t>
        </is>
      </c>
      <c r="Q129" s="15" t="inlineStr">
        <is>
          <t>Re-mapped 2026-06-01 to the 18-lesson Y9 Algebra plan (go-18 decision). Status Planned; tags/elaborations to be confirmed from file &lt;meta&gt; at build closeout. Batch y9-alg-03. Gradient given its own lesson under the 18-plan.</t>
        </is>
      </c>
    </row>
    <row r="130" ht="15" customHeight="1" s="16">
      <c r="A130" s="15" t="inlineStr">
        <is>
          <t>y9_alg_08</t>
        </is>
      </c>
      <c r="B130" s="15" t="n">
        <v>9</v>
      </c>
      <c r="C130" s="15" t="inlineStr">
        <is>
          <t>Algebra</t>
        </is>
      </c>
      <c r="D130" s="15" t="n">
        <v>8</v>
      </c>
      <c r="E130" s="15" t="inlineStr">
        <is>
          <t>midpoint_and_distance</t>
        </is>
      </c>
      <c r="F130" s="15" t="inlineStr">
        <is>
          <t>y9_alg_08_midpoint_and_distance_v2.html</t>
        </is>
      </c>
      <c r="G130" s="15" t="inlineStr">
        <is>
          <t>AC9M9A03</t>
        </is>
      </c>
      <c r="H130" s="15" t="inlineStr">
        <is>
          <t>3,4</t>
        </is>
      </c>
      <c r="I130" s="15" t="inlineStr">
        <is>
          <t>Partial - this lesson covers the midpoint of a line interval and the distance between two points</t>
        </is>
      </c>
      <c r="J130" s="15" t="inlineStr">
        <is>
          <t>On a Cartesian plane, the coordinates of 2 distinct points can be used to determine a range of measures of their orientation in relation to each other</t>
        </is>
      </c>
      <c r="K130" s="15" t="inlineStr">
        <is>
          <t>Midpoint as the average of coordinates; distance as Pythagoras on the coordinate differences; Cartesian SVG with midpoint marked and the right-triangle legs drawn; errors targeted - subtracting vs averaging, and forgetting the final square root.</t>
        </is>
      </c>
      <c r="L130" s="15" t="inlineStr">
        <is>
          <t>auto-marked</t>
        </is>
      </c>
      <c r="M130" s="15" t="inlineStr">
        <is>
          <t>y9_alg_07</t>
        </is>
      </c>
      <c r="N130" s="15" t="inlineStr">
        <is>
          <t>Planned</t>
        </is>
      </c>
      <c r="Q130" t="inlineStr">
        <is>
          <t>Re-mapped 2026-06-01 to the 18-lesson Y9 Algebra plan (go-18 decision). Status Planned; tags/elaborations to be confirmed from file &lt;meta&gt; at build closeout. Batch y9-alg-03. Builds on Y8 Pythagoras (y8_mea_11).</t>
        </is>
      </c>
    </row>
    <row r="131" ht="15" customHeight="1" s="16">
      <c r="A131" s="15" t="inlineStr">
        <is>
          <t>y9_alg_09</t>
        </is>
      </c>
      <c r="B131" s="15" t="n">
        <v>9</v>
      </c>
      <c r="C131" s="15" t="inlineStr">
        <is>
          <t>Algebra</t>
        </is>
      </c>
      <c r="D131" s="15" t="n">
        <v>9</v>
      </c>
      <c r="E131" s="15" t="inlineStr">
        <is>
          <t>parallel_and_perpendicular_lines</t>
        </is>
      </c>
      <c r="F131" s="15" t="inlineStr">
        <is>
          <t>y9_alg_09_parallel_and_perpendicular_lines_v2.html</t>
        </is>
      </c>
      <c r="G131" s="15" t="inlineStr">
        <is>
          <t>AC9M9A03</t>
        </is>
      </c>
      <c r="H131" s="15" t="inlineStr">
        <is>
          <t>2,5</t>
        </is>
      </c>
      <c r="I131" s="15" t="inlineStr">
        <is>
          <t>Partial - this lesson covers parallel and perpendicular lines via their gradients</t>
        </is>
      </c>
      <c r="J131" s="15" t="inlineStr">
        <is>
          <t>On a Cartesian plane, the coordinates of 2 distinct points can be used to determine a range of measures of their orientation in relation to each other</t>
        </is>
      </c>
      <c r="K131" s="15" t="inlineStr">
        <is>
          <t>Parallel lines have equal gradients; perpendicular gradients multiply to -1 (negative reciprocal); classify line pairs; SVG showing a parallel pair and a perpendicular pair labelled with gradients; Card Sort (parallel/perpendicular/neither); trap named - perpendicular is not merely a negative gradient.</t>
        </is>
      </c>
      <c r="L131" s="15" t="inlineStr">
        <is>
          <t>auto-marked</t>
        </is>
      </c>
      <c r="M131" s="15" t="inlineStr">
        <is>
          <t>y9_alg_07</t>
        </is>
      </c>
      <c r="N131" s="15" t="inlineStr">
        <is>
          <t>Planned</t>
        </is>
      </c>
      <c r="Q131" s="15" t="inlineStr">
        <is>
          <t>NEW gap-fill: A03 elaboration 2 (parallel/perpendicular) was uncovered in the earlier 13-lesson build. Re-mapped 2026-06-01 to the 18-lesson Y9 Algebra plan (go-18 decision). Status Planned; tags/elaborations to be confirmed from file &lt;meta&gt; at build closeout. Batch y9-alg-03.</t>
        </is>
      </c>
    </row>
    <row r="132" ht="15" customHeight="1" s="16">
      <c r="A132" s="15" t="inlineStr">
        <is>
          <t>y9_alg_10</t>
        </is>
      </c>
      <c r="B132" s="15" t="n">
        <v>9</v>
      </c>
      <c r="C132" s="15" t="inlineStr">
        <is>
          <t>Algebra</t>
        </is>
      </c>
      <c r="D132" s="15" t="n">
        <v>10</v>
      </c>
      <c r="E132" s="15" t="inlineStr">
        <is>
          <t>graphing_quadratic_functions</t>
        </is>
      </c>
      <c r="F132" s="15" t="inlineStr">
        <is>
          <t>y9_alg_10_graphing_quadratic_functions_v2.html</t>
        </is>
      </c>
      <c r="G132" s="15" t="inlineStr">
        <is>
          <t>AC9M9A04</t>
        </is>
      </c>
      <c r="H132" s="15" t="inlineStr">
        <is>
          <t>1,2</t>
        </is>
      </c>
      <c r="I132" s="15" t="inlineStr">
        <is>
          <t>Partial - this lesson covers identifying and graphing quadratic functions</t>
        </is>
      </c>
      <c r="J132" s="15" t="inlineStr">
        <is>
          <t>The parameters of quadratics and other functions determine the features of the related graph and can be adjusted depending on the purpose, context and application</t>
        </is>
      </c>
      <c r="K132" s="15" t="inlineStr">
        <is>
          <t>Recognise a quadratic from a constant second difference; plot y=x^2, y=x^2-4, y=(x-2)^2, y=x^2+2x-3; read vertex, axis of symmetry, y-intercept and x-intercepts; Multiple Representations matching (rule/table/graph/features).</t>
        </is>
      </c>
      <c r="L132" s="15" t="inlineStr">
        <is>
          <t>auto-marked</t>
        </is>
      </c>
      <c r="M132" s="15" t="inlineStr">
        <is>
          <t>y9_alg_06</t>
        </is>
      </c>
      <c r="N132" s="15" t="inlineStr">
        <is>
          <t>Planned</t>
        </is>
      </c>
      <c r="Q132" s="15" t="inlineStr">
        <is>
          <t>Watershed: first formal non-linear function. Re-mapped 2026-06-01 to the 18-lesson Y9 Algebra plan (go-18 decision). Status Planned; tags/elaborations to be confirmed from file &lt;meta&gt; at build closeout. Batch y9-alg-03.</t>
        </is>
      </c>
    </row>
    <row r="133" ht="15" customHeight="1" s="16">
      <c r="A133" s="15" t="inlineStr">
        <is>
          <t>y9_alg_11</t>
        </is>
      </c>
      <c r="B133" s="15" t="n">
        <v>9</v>
      </c>
      <c r="C133" s="15" t="inlineStr">
        <is>
          <t>Algebra</t>
        </is>
      </c>
      <c r="D133" s="15" t="n">
        <v>11</v>
      </c>
      <c r="E133" s="15" t="inlineStr">
        <is>
          <t>solving_quadratics_graphically</t>
        </is>
      </c>
      <c r="F133" s="15" t="inlineStr">
        <is>
          <t>y9_alg_11_solving_quadratics_graphically_v2.html</t>
        </is>
      </c>
      <c r="G133" s="15" t="inlineStr">
        <is>
          <t>AC9M9A04</t>
        </is>
      </c>
      <c r="H133" s="15" t="inlineStr">
        <is>
          <t>4,6,7</t>
        </is>
      </c>
      <c r="I133" s="15" t="inlineStr">
        <is>
          <t>Partial - this lesson covers solving quadratic equations graphically and numerically</t>
        </is>
      </c>
      <c r="J133" s="15" t="inlineStr">
        <is>
          <t>The parameters of quadratics and other functions determine the features of the related graph and can be adjusted depending on the purpose, context and application</t>
        </is>
      </c>
      <c r="K133" s="15" t="inlineStr">
        <is>
          <t>Solutions are the x-values where y=0 (the x-intercepts); numerical route via a table sign-change; x^2=39 gives +/-6.245; x^2=a has two solutions; recognising no real solutions; moon-phase illumination context (First Nations, elaboration 7).</t>
        </is>
      </c>
      <c r="L133" s="15" t="inlineStr">
        <is>
          <t>auto-marked</t>
        </is>
      </c>
      <c r="M133" s="15" t="inlineStr">
        <is>
          <t>y9_alg_10</t>
        </is>
      </c>
      <c r="N133" s="15" t="inlineStr">
        <is>
          <t>Planned</t>
        </is>
      </c>
      <c r="Q133" s="15" t="inlineStr">
        <is>
          <t>Re-mapped 2026-06-01 to the 18-lesson Y9 Algebra plan (go-18 decision). Status Planned; tags/elaborations to be confirmed from file &lt;meta&gt; at build closeout. Moon-phase elaboration 7 added. Batch y9-alg-04.</t>
        </is>
      </c>
    </row>
    <row r="134" ht="15" customHeight="1" s="16">
      <c r="A134" s="15" t="inlineStr">
        <is>
          <t>y9_alg_12</t>
        </is>
      </c>
      <c r="B134" s="15" t="n">
        <v>9</v>
      </c>
      <c r="C134" s="15" t="inlineStr">
        <is>
          <t>Algebra</t>
        </is>
      </c>
      <c r="D134" s="15" t="n">
        <v>12</v>
      </c>
      <c r="E134" s="15" t="inlineStr">
        <is>
          <t>solving_monic_quadratics_algebraically</t>
        </is>
      </c>
      <c r="F134" s="15" t="inlineStr">
        <is>
          <t>y9_alg_12_solving_monic_quadratics_algebraically_v2.html</t>
        </is>
      </c>
      <c r="G134" s="15" t="inlineStr">
        <is>
          <t>AC9M9A04</t>
        </is>
      </c>
      <c r="H134" s="15" t="inlineStr">
        <is>
          <t>3,5</t>
        </is>
      </c>
      <c r="I134" s="15" t="inlineStr">
        <is>
          <t>Partial - this lesson covers solving monic quadratic equations with integer roots algebraically</t>
        </is>
      </c>
      <c r="J134" s="15" t="inlineStr">
        <is>
          <t>The parameters of quadratics and other functions determine the features of the related graph and can be adjusted depending on the purpose, context and application</t>
        </is>
      </c>
      <c r="K134" s="15" t="inlineStr">
        <is>
          <t>Rearrange to equal zero, factorise, apply the null factor law to read the two roots; connect roots to the x-intercepts of the factorised form; small parabola figure per example; Order the Steps strategy; errors named - not setting to zero, dropping the second root.</t>
        </is>
      </c>
      <c r="L134" s="15" t="inlineStr">
        <is>
          <t>auto-marked</t>
        </is>
      </c>
      <c r="M134" s="15" t="inlineStr">
        <is>
          <t>y9_alg_06,y9_alg_11</t>
        </is>
      </c>
      <c r="N134" s="15" t="inlineStr">
        <is>
          <t>Planned</t>
        </is>
      </c>
      <c r="Q134" s="15" t="inlineStr">
        <is>
          <t>Parabola figure added (fix - was the one solving lesson with no figure). Null factor law folded in here. Re-mapped 2026-06-01 to the 18-lesson Y9 Algebra plan (go-18 decision). Status Planned; tags/elaborations to be confirmed from file &lt;meta&gt; at build closeout. Batch y9-alg-04.</t>
        </is>
      </c>
    </row>
    <row r="135" ht="15" customHeight="1" s="16">
      <c r="A135" s="15" t="inlineStr">
        <is>
          <t>y9_alg_13</t>
        </is>
      </c>
      <c r="B135" s="15" t="n">
        <v>9</v>
      </c>
      <c r="C135" s="15" t="inlineStr">
        <is>
          <t>Algebra</t>
        </is>
      </c>
      <c r="D135" s="15" t="n">
        <v>13</v>
      </c>
      <c r="E135" s="15" t="inlineStr">
        <is>
          <t>modelling_with_linear_functions</t>
        </is>
      </c>
      <c r="F135" s="15" t="inlineStr">
        <is>
          <t>y9_alg_13_modelling_with_linear_functions_v2.html</t>
        </is>
      </c>
      <c r="G135" s="15" t="inlineStr">
        <is>
          <t>AC9M9A05</t>
        </is>
      </c>
      <c r="H135" s="15" t="inlineStr">
        <is>
          <t>1,2,5</t>
        </is>
      </c>
      <c r="I135" s="15" t="inlineStr">
        <is>
          <t>Partial - this lesson covers modelling change with linear functions</t>
        </is>
      </c>
      <c r="J135" s="15" t="inlineStr">
        <is>
          <t>Mathematical modelling can be used to represent and solve problems involving changes, including financial contexts</t>
        </is>
      </c>
      <c r="K135" s="15" t="inlineStr">
        <is>
          <t>The modelling cycle with linear functions; cooking time with a resting period plus a per-kg rate, tank drainage, perimeter where length is a linear function of width; interpret gradient as a constant rate of change and the y-intercept as the start value; SVG line graphs; Estimation Ladder.</t>
        </is>
      </c>
      <c r="L135" s="15" t="inlineStr">
        <is>
          <t>auto-marked + open-ended</t>
        </is>
      </c>
      <c r="M135" s="15" t="inlineStr">
        <is>
          <t>y9_alg_07</t>
        </is>
      </c>
      <c r="N135" s="15" t="inlineStr">
        <is>
          <t>Planned</t>
        </is>
      </c>
      <c r="Q135" s="15" t="inlineStr">
        <is>
          <t>A05 restored to 3 lessons under the 18-plan (was 1 combined lesson). Re-mapped 2026-06-01 to the 18-lesson Y9 Algebra plan (go-18 decision). Status Planned; tags/elaborations to be confirmed from file &lt;meta&gt; at build closeout. Batch y9-alg-05.</t>
        </is>
      </c>
    </row>
    <row r="136" ht="15" customHeight="1" s="16">
      <c r="A136" s="15" t="inlineStr">
        <is>
          <t>y9_alg_14</t>
        </is>
      </c>
      <c r="B136" s="15" t="n">
        <v>9</v>
      </c>
      <c r="C136" s="15" t="inlineStr">
        <is>
          <t>Algebra</t>
        </is>
      </c>
      <c r="D136" s="15" t="n">
        <v>14</v>
      </c>
      <c r="E136" s="15" t="inlineStr">
        <is>
          <t>modelling_with_quadratic_functions</t>
        </is>
      </c>
      <c r="F136" s="15" t="inlineStr">
        <is>
          <t>y9_alg_14_modelling_with_quadratic_functions_v2.html</t>
        </is>
      </c>
      <c r="G136" s="15" t="inlineStr">
        <is>
          <t>AC9M9A05</t>
        </is>
      </c>
      <c r="H136" s="15" t="inlineStr">
        <is>
          <t>3,6</t>
        </is>
      </c>
      <c r="I136" s="15" t="inlineStr">
        <is>
          <t>Partial - this lesson covers modelling with quadratic functions</t>
        </is>
      </c>
      <c r="J136" s="15" t="inlineStr">
        <is>
          <t>Mathematical modelling can be used to represent and solve problems involving changes, including financial contexts</t>
        </is>
      </c>
      <c r="K136" s="15" t="inlineStr">
        <is>
          <t>Parabola models; projectile maximum height, fixed-fence area maximisation, parabolic dish/mirror; turning point as a maximum or minimum in context; First Nations hunting-technique quadratic context (elaboration 6); SVG parabolas with turning point and intercepts; Estimation Ladder.</t>
        </is>
      </c>
      <c r="L136" s="15" t="inlineStr">
        <is>
          <t>auto-marked + open-ended</t>
        </is>
      </c>
      <c r="M136" s="15" t="inlineStr">
        <is>
          <t>y9_alg_10,y9_alg_13</t>
        </is>
      </c>
      <c r="N136" s="15" t="inlineStr">
        <is>
          <t>Planned</t>
        </is>
      </c>
      <c r="Q136" s="15" t="inlineStr">
        <is>
          <t>Re-mapped 2026-06-01 to the 18-lesson Y9 Algebra plan (go-18 decision). Status Planned; tags/elaborations to be confirmed from file &lt;meta&gt; at build closeout. Batch y9-alg-05.</t>
        </is>
      </c>
    </row>
    <row r="137" ht="15" customHeight="1" s="16">
      <c r="A137" s="15" t="inlineStr">
        <is>
          <t>y9_alg_15</t>
        </is>
      </c>
      <c r="B137" s="15" t="n">
        <v>9</v>
      </c>
      <c r="C137" s="15" t="inlineStr">
        <is>
          <t>Algebra</t>
        </is>
      </c>
      <c r="D137" s="15" t="n">
        <v>15</v>
      </c>
      <c r="E137" s="15" t="inlineStr">
        <is>
          <t>choosing_linear_or_quadratic_models</t>
        </is>
      </c>
      <c r="F137" s="15" t="inlineStr">
        <is>
          <t>y9_alg_15_choosing_linear_or_quadratic_models_v2.html</t>
        </is>
      </c>
      <c r="G137" s="15" t="inlineStr">
        <is>
          <t>AC9M9A05</t>
        </is>
      </c>
      <c r="H137" s="15" t="inlineStr">
        <is>
          <t>4</t>
        </is>
      </c>
      <c r="I137" s="15" t="inlineStr">
        <is>
          <t>Partial - this lesson covers choosing and justifying a linear or quadratic model in financial contexts</t>
        </is>
      </c>
      <c r="J137" s="15" t="inlineStr">
        <is>
          <t>Mathematical modelling can be used to represent and solve problems involving changes, including financial contexts</t>
        </is>
      </c>
      <c r="K137" s="15" t="inlineStr">
        <is>
          <t>Decide linear vs quadratic from the difference pattern (constant first difference = linear, constant second difference = quadratic); financial contexts - budget combinations, a profit parabola, a trade quote with call-out fee; table plus SVG graph for each; Compare Two Solutions strategy.</t>
        </is>
      </c>
      <c r="L137" s="15" t="inlineStr">
        <is>
          <t>auto-marked + open-ended</t>
        </is>
      </c>
      <c r="M137" s="15" t="inlineStr">
        <is>
          <t>y9_alg_13,y9_alg_14</t>
        </is>
      </c>
      <c r="N137" s="15" t="inlineStr">
        <is>
          <t>Planned</t>
        </is>
      </c>
      <c r="Q137" s="15" t="inlineStr">
        <is>
          <t>Re-mapped 2026-06-01 to the 18-lesson Y9 Algebra plan (go-18 decision). Status Planned; tags/elaborations to be confirmed from file &lt;meta&gt; at build closeout. Batch y9-alg-05.</t>
        </is>
      </c>
    </row>
    <row r="138" ht="15" customHeight="1" s="16">
      <c r="A138" s="15" t="inlineStr">
        <is>
          <t>y9_alg_16</t>
        </is>
      </c>
      <c r="B138" s="15" t="n">
        <v>9</v>
      </c>
      <c r="C138" s="15" t="inlineStr">
        <is>
          <t>Algebra</t>
        </is>
      </c>
      <c r="D138" s="15" t="n">
        <v>16</v>
      </c>
      <c r="E138" s="15" t="inlineStr">
        <is>
          <t>transformations_of_linear_graphs</t>
        </is>
      </c>
      <c r="F138" s="15" t="inlineStr">
        <is>
          <t>y9_alg_16_transformations_of_linear_graphs_v2.html</t>
        </is>
      </c>
      <c r="G138" s="15" t="inlineStr">
        <is>
          <t>AC9M9A06</t>
        </is>
      </c>
      <c r="H138" s="15" t="inlineStr">
        <is>
          <t>1</t>
        </is>
      </c>
      <c r="I138" s="15" t="inlineStr">
        <is>
          <t>Partial - this lesson covers transformations of the linear graph y = x</t>
        </is>
      </c>
      <c r="J138" s="15" t="inlineStr">
        <is>
          <t>The parameters of quadratics and other functions determine the features of the related graph and can be adjusted depending on the purpose, context and application</t>
        </is>
      </c>
      <c r="K138" s="15" t="inlineStr">
        <is>
          <t>Systematic one-parameter variation from y=x to y=2x, y=x/2, y=-x, y=2x-1; build the slope-intercept form y=mx+c, m as gradient and c as intercept; base vs transformed line in contrasting colours (SVG); Slider widget as the spine.</t>
        </is>
      </c>
      <c r="L138" s="15" t="inlineStr">
        <is>
          <t>auto-marked + open-ended</t>
        </is>
      </c>
      <c r="M138" s="15" t="inlineStr">
        <is>
          <t>y9_alg_07</t>
        </is>
      </c>
      <c r="N138" s="15" t="inlineStr">
        <is>
          <t>Planned</t>
        </is>
      </c>
      <c r="Q138" s="15" t="inlineStr">
        <is>
          <t>A06 restored to 3 lessons under the 18-plan (was 1 combined lesson). Re-mapped 2026-06-01 to the 18-lesson Y9 Algebra plan (go-18 decision). Status Planned; tags/elaborations to be confirmed from file &lt;meta&gt; at build closeout. Batch y9-alg-06.</t>
        </is>
      </c>
    </row>
    <row r="139" ht="15" customHeight="1" s="16">
      <c r="A139" s="15" t="inlineStr">
        <is>
          <t>y9_alg_17</t>
        </is>
      </c>
      <c r="B139" s="15" t="n">
        <v>9</v>
      </c>
      <c r="C139" s="15" t="inlineStr">
        <is>
          <t>Algebra</t>
        </is>
      </c>
      <c r="D139" s="15" t="n">
        <v>17</v>
      </c>
      <c r="E139" s="15" t="inlineStr">
        <is>
          <t>transformations_of_quadratic_graphs</t>
        </is>
      </c>
      <c r="F139" s="15" t="inlineStr">
        <is>
          <t>y9_alg_17_transformations_of_quadratic_graphs_v2.html</t>
        </is>
      </c>
      <c r="G139" s="15" t="inlineStr">
        <is>
          <t>AC9M9A06</t>
        </is>
      </c>
      <c r="H139" s="15" t="inlineStr">
        <is>
          <t>2</t>
        </is>
      </c>
      <c r="I139" s="15" t="inlineStr">
        <is>
          <t>Partial - this lesson covers transformations of the parabola y = x^2 in completed-square form</t>
        </is>
      </c>
      <c r="J139" s="15" t="inlineStr">
        <is>
          <t>The parameters of quadratics and other functions determine the features of the related graph and can be adjusted depending on the purpose, context and application</t>
        </is>
      </c>
      <c r="K139" s="15" t="inlineStr">
        <is>
          <t>Completed-square form y=a(x-h)^2+k; a controls dilation/reflection, h horizontal translation, k vertical translation; turning point at (h,k); base vs transformed parabola (SVG); Slider widget; completed-square treated as a parameter tool, not a solving technique.</t>
        </is>
      </c>
      <c r="L139" s="15" t="inlineStr">
        <is>
          <t>auto-marked + open-ended</t>
        </is>
      </c>
      <c r="M139" s="15" t="inlineStr">
        <is>
          <t>y9_alg_10,y9_alg_16</t>
        </is>
      </c>
      <c r="N139" s="15" t="inlineStr">
        <is>
          <t>Planned</t>
        </is>
      </c>
      <c r="Q139" s="15" t="inlineStr">
        <is>
          <t>Re-mapped 2026-06-01 to the 18-lesson Y9 Algebra plan (go-18 decision). Status Planned; tags/elaborations to be confirmed from file &lt;meta&gt; at build closeout. Batch y9-alg-06.</t>
        </is>
      </c>
    </row>
    <row r="140" ht="15" customHeight="1" s="16">
      <c r="A140" s="15" t="inlineStr">
        <is>
          <t>y9_alg_18</t>
        </is>
      </c>
      <c r="B140" s="15" t="n">
        <v>9</v>
      </c>
      <c r="C140" s="15" t="inlineStr">
        <is>
          <t>Algebra</t>
        </is>
      </c>
      <c r="D140" s="15" t="n">
        <v>18</v>
      </c>
      <c r="E140" s="15" t="inlineStr">
        <is>
          <t>families_of_functions</t>
        </is>
      </c>
      <c r="F140" s="15" t="inlineStr">
        <is>
          <t>y9_alg_18_families_of_functions_v2.html</t>
        </is>
      </c>
      <c r="G140" s="15" t="inlineStr">
        <is>
          <t>AC9M9A06</t>
        </is>
      </c>
      <c r="H140" s="15" t="inlineStr">
        <is>
          <t>3</t>
        </is>
      </c>
      <c r="I140" s="15" t="inlineStr">
        <is>
          <t>Partial - this lesson is a taster of the reciprocal, square-root, cubic and exponential families</t>
        </is>
      </c>
      <c r="J140" s="15" t="inlineStr">
        <is>
          <t>The parameters of quadratics and other functions determine the features of the related graph and can be adjusted depending on the purpose, context and application</t>
        </is>
      </c>
      <c r="K140" s="15" t="inlineStr">
        <is>
          <t>A guided tour of the reciprocal y=1/x, square root y=root x, cubic y=x^3, and exponentials y=2^x and y=(1/2)^x; signature shapes and key features; vary one parameter; Multiple Representations match (rule/graph/name/shape); kept light as a taster.</t>
        </is>
      </c>
      <c r="L140" s="15" t="inlineStr">
        <is>
          <t>auto-marked + open-ended</t>
        </is>
      </c>
      <c r="M140" t="inlineStr">
        <is>
          <t>y9_alg_16,y9_alg_17</t>
        </is>
      </c>
      <c r="N140" s="15" t="inlineStr">
        <is>
          <t>Planned</t>
        </is>
      </c>
      <c r="Q140" s="15" t="inlineStr">
        <is>
          <t>NEW gap-fill: A06 elaboration 3 (function families) was uncovered in the earlier 13-lesson build. Re-mapped 2026-06-01 to the 18-lesson Y9 Algebra plan (go-18 decision). Status Planned; tags/elaborations to be confirmed from file &lt;meta&gt; at build closeout. Batch y9-alg-06.</t>
        </is>
      </c>
    </row>
    <row r="141" ht="15" customHeight="1" s="16">
      <c r="A141" s="15" t="inlineStr">
        <is>
          <t>y9_mea_01</t>
        </is>
      </c>
      <c r="B141" s="15" t="n">
        <v>9</v>
      </c>
      <c r="C141" s="15" t="inlineStr">
        <is>
          <t>Measurement</t>
        </is>
      </c>
      <c r="D141" s="15" t="n">
        <v>1</v>
      </c>
      <c r="E141" s="15" t="inlineStr">
        <is>
          <t>surface_area_of_right_prisms</t>
        </is>
      </c>
      <c r="F141" s="15" t="inlineStr">
        <is>
          <t>y9_mea_01_surface_area_of_right_prisms_v2.html</t>
        </is>
      </c>
      <c r="G141" s="15" t="inlineStr">
        <is>
          <t>AC9M9M01</t>
        </is>
      </c>
      <c r="H141" s="15" t="inlineStr">
        <is>
          <t>1</t>
        </is>
      </c>
      <c r="I141" s="15" t="inlineStr">
        <is>
          <t>Strict</t>
        </is>
      </c>
      <c r="J141" s="15" t="inlineStr">
        <is>
          <t>Spatial relationships in 1, 2 and 3 dimensions can be quantified using appropriate units to solve problems in various contexts</t>
        </is>
      </c>
      <c r="K141" s="15" t="inlineStr">
        <is>
          <t>Use nets to derive surface-area formulas for rectangular and triangular right prisms; calculate surface area by summing component face areas; verify by re-drawing the net in a different layout.</t>
        </is>
      </c>
      <c r="L141" s="15" t="inlineStr">
        <is>
          <t>auto-marked</t>
        </is>
      </c>
      <c r="M141" s="15" t="n"/>
      <c r="N141" s="15" t="inlineStr">
        <is>
          <t>Planned</t>
        </is>
      </c>
      <c r="Q141" s="15" t="inlineStr">
        <is>
          <t>Surface area is new in Y9 — Y8 covered volume of prisms (mea_03/04) but not SA.</t>
        </is>
      </c>
    </row>
    <row r="142" ht="15" customHeight="1" s="16">
      <c r="A142" s="15" t="inlineStr">
        <is>
          <t>y9_mea_02</t>
        </is>
      </c>
      <c r="B142" s="15" t="n">
        <v>9</v>
      </c>
      <c r="C142" s="15" t="inlineStr">
        <is>
          <t>Measurement</t>
        </is>
      </c>
      <c r="D142" s="15" t="n">
        <v>2</v>
      </c>
      <c r="E142" s="15" t="inlineStr">
        <is>
          <t>surface_area_and_volume_of_cylinders</t>
        </is>
      </c>
      <c r="F142" s="15" t="inlineStr">
        <is>
          <t>y9_mea_02_surface_area_and_volume_of_cylinders_v2.html</t>
        </is>
      </c>
      <c r="G142" s="15" t="inlineStr">
        <is>
          <t>AC9M9M01</t>
        </is>
      </c>
      <c r="H142" s="15" t="inlineStr">
        <is>
          <t>1,2</t>
        </is>
      </c>
      <c r="I142" s="15" t="inlineStr">
        <is>
          <t>Strict</t>
        </is>
      </c>
      <c r="J142" s="15" t="inlineStr">
        <is>
          <t>Spatial relationships in 1, 2 and 3 dimensions can be quantified using appropriate units to solve problems in various contexts</t>
        </is>
      </c>
      <c r="K142" s="15" t="inlineStr">
        <is>
          <t>Apply formulas V = πr²h and SA = 2πr² + 2πrh for a cylinder; derive the curved-surface area by unrolling the cylinder into a rectangle of dimensions 2πr by h; can-cooler material problems.</t>
        </is>
      </c>
      <c r="L142" s="15" t="inlineStr">
        <is>
          <t>auto-marked</t>
        </is>
      </c>
      <c r="M142" s="15" t="inlineStr">
        <is>
          <t>y9_mea_01</t>
        </is>
      </c>
      <c r="N142" s="15" t="inlineStr">
        <is>
          <t>Planned</t>
        </is>
      </c>
      <c r="Q142" s="15" t="inlineStr">
        <is>
          <t>Watershed lesson: the unrolling visualisation is essential for retention. Cylinder is the first non-prism solid Y9 students meet formally.</t>
        </is>
      </c>
    </row>
    <row r="143" ht="15" customHeight="1" s="16">
      <c r="A143" s="15" t="inlineStr">
        <is>
          <t>y9_mea_03</t>
        </is>
      </c>
      <c r="B143" s="15" t="n">
        <v>9</v>
      </c>
      <c r="C143" s="15" t="inlineStr">
        <is>
          <t>Measurement</t>
        </is>
      </c>
      <c r="D143" s="15" t="n">
        <v>3</v>
      </c>
      <c r="E143" s="15" t="inlineStr">
        <is>
          <t>optimising_surface_area_and_volume</t>
        </is>
      </c>
      <c r="F143" s="15" t="inlineStr">
        <is>
          <t>y9_mea_03_optimising_surface_area_and_volume_v2.html</t>
        </is>
      </c>
      <c r="G143" s="15" t="inlineStr">
        <is>
          <t>AC9M9M01</t>
        </is>
      </c>
      <c r="H143" s="15" t="inlineStr">
        <is>
          <t>3,4</t>
        </is>
      </c>
      <c r="I143" s="15" t="inlineStr">
        <is>
          <t>Strict</t>
        </is>
      </c>
      <c r="J143" s="15" t="inlineStr">
        <is>
          <t>Spatial relationships in 1, 2 and 3 dimensions can be quantified using appropriate units to solve problems in various contexts</t>
        </is>
      </c>
      <c r="K143" s="15"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3" s="15" t="inlineStr">
        <is>
          <t>auto-marked + open-ended</t>
        </is>
      </c>
      <c r="M143" s="15" t="inlineStr">
        <is>
          <t>y9_mea_01,y9_mea_02</t>
        </is>
      </c>
      <c r="N143" s="15" t="inlineStr">
        <is>
          <t>Planned</t>
        </is>
      </c>
      <c r="Q143" s="15" t="inlineStr">
        <is>
          <t>Investigation-style lesson — practice should include some open-response conjecture-and-test items.</t>
        </is>
      </c>
    </row>
    <row r="144" ht="15" customHeight="1" s="16">
      <c r="A144" s="15" t="inlineStr">
        <is>
          <t>y9_mea_04</t>
        </is>
      </c>
      <c r="B144" s="15" t="n">
        <v>9</v>
      </c>
      <c r="C144" s="15" t="inlineStr">
        <is>
          <t>Measurement</t>
        </is>
      </c>
      <c r="D144" s="15" t="n">
        <v>4</v>
      </c>
      <c r="E144" s="15" t="inlineStr">
        <is>
          <t>introducing_scientific_notation</t>
        </is>
      </c>
      <c r="F144" s="15" t="inlineStr">
        <is>
          <t>y9_mea_04_introducing_scientific_notation_v2.html</t>
        </is>
      </c>
      <c r="G144" s="15" t="inlineStr">
        <is>
          <t>AC9M9M02, AC9M9A01</t>
        </is>
      </c>
      <c r="H144" s="15" t="inlineStr">
        <is>
          <t>1 (M02); 7 (A01)</t>
        </is>
      </c>
      <c r="I144" s="15" t="inlineStr">
        <is>
          <t>Strict + cross-tag</t>
        </is>
      </c>
      <c r="J144" s="15" t="inlineStr">
        <is>
          <t>Spatial relationships in 1, 2 and 3 dimensions can be quantified using appropriate units to solve problems in various contexts</t>
        </is>
      </c>
      <c r="K144" s="15"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4" s="15" t="inlineStr">
        <is>
          <t>auto-marked</t>
        </is>
      </c>
      <c r="M144" s="15" t="inlineStr">
        <is>
          <t>y9_alg_01</t>
        </is>
      </c>
      <c r="N144" s="15" t="inlineStr">
        <is>
          <t>Planned</t>
        </is>
      </c>
      <c r="Q144" t="inlineStr">
        <is>
          <t>Cross-strand prereq: needs y9_alg_01 negative exponents. Important sequencing — Algebra first, then Measurement.</t>
        </is>
      </c>
    </row>
    <row r="145" ht="15" customHeight="1" s="16">
      <c r="A145" s="15" t="inlineStr">
        <is>
          <t>y9_mea_05</t>
        </is>
      </c>
      <c r="B145" s="15" t="n">
        <v>9</v>
      </c>
      <c r="C145" s="15" t="inlineStr">
        <is>
          <t>Measurement</t>
        </is>
      </c>
      <c r="D145" s="15" t="n">
        <v>5</v>
      </c>
      <c r="E145" s="15" t="inlineStr">
        <is>
          <t>operations_with_scientific_notation</t>
        </is>
      </c>
      <c r="F145" s="15" t="inlineStr">
        <is>
          <t>y9_mea_05_operations_with_scientific_notation_v2.html</t>
        </is>
      </c>
      <c r="G145" s="15" t="inlineStr">
        <is>
          <t>AC9M9M02</t>
        </is>
      </c>
      <c r="H145" s="15" t="inlineStr">
        <is>
          <t>2,3</t>
        </is>
      </c>
      <c r="I145" s="15" t="inlineStr">
        <is>
          <t>Strict</t>
        </is>
      </c>
      <c r="J145" s="15" t="inlineStr">
        <is>
          <t>Spatial relationships in 1, 2 and 3 dimensions can be quantified using appropriate units to solve problems in various contexts</t>
        </is>
      </c>
      <c r="K145" s="15" t="inlineStr">
        <is>
          <t>Multiply and divide numbers in scientific notation using exponent laws; estimate orders of magnitude for products and quotients; record measurements to an accuracy appropriate to the measuring instrument (cylinder vs pipette).</t>
        </is>
      </c>
      <c r="L145" s="15" t="inlineStr">
        <is>
          <t>auto-marked</t>
        </is>
      </c>
      <c r="M145" s="15" t="inlineStr">
        <is>
          <t>y9_mea_04</t>
        </is>
      </c>
      <c r="N145" s="15" t="inlineStr">
        <is>
          <t>Planned</t>
        </is>
      </c>
      <c r="Q145" s="15" t="n"/>
    </row>
    <row r="146" ht="15" customHeight="1" s="16">
      <c r="A146" s="15" t="inlineStr">
        <is>
          <t>y9_mea_06</t>
        </is>
      </c>
      <c r="B146" s="15" t="n">
        <v>9</v>
      </c>
      <c r="C146" s="15" t="inlineStr">
        <is>
          <t>Measurement</t>
        </is>
      </c>
      <c r="D146" s="15" t="n">
        <v>6</v>
      </c>
      <c r="E146" s="15" t="inlineStr">
        <is>
          <t>applying_pythagoras_and_trig_to_spatial_problems</t>
        </is>
      </c>
      <c r="F146" s="15" t="inlineStr">
        <is>
          <t>y9_mea_06_applying_pythagoras_and_trig_to_spatial_problems_v2.html</t>
        </is>
      </c>
      <c r="G146" s="15" t="inlineStr">
        <is>
          <t>AC9M9M03</t>
        </is>
      </c>
      <c r="H146" s="15" t="inlineStr">
        <is>
          <t>1,2</t>
        </is>
      </c>
      <c r="I146" s="15" t="inlineStr">
        <is>
          <t>Strict</t>
        </is>
      </c>
      <c r="J146" s="15" t="inlineStr">
        <is>
          <t>Spatial relationships in 1, 2 and 3 dimensions can be quantified using appropriate units to solve problems in various contexts</t>
        </is>
      </c>
      <c r="K146" s="1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6" s="15" t="inlineStr">
        <is>
          <t>auto-marked</t>
        </is>
      </c>
      <c r="M146" s="15" t="inlineStr">
        <is>
          <t>y9_spa_03</t>
        </is>
      </c>
      <c r="N146" s="15" t="inlineStr">
        <is>
          <t>Planned</t>
        </is>
      </c>
      <c r="Q146" s="15" t="inlineStr">
        <is>
          <t>Cross-strand prereq: needs y9_spa_03 (sin/cos/tan defined). Important sequencing — Space SP01 must come before this. M03 elaboration 2 (distance) also covered in y9_alg_07.</t>
        </is>
      </c>
    </row>
    <row r="147" ht="15" customHeight="1" s="16">
      <c r="A147" s="15" t="inlineStr">
        <is>
          <t>y9_mea_07</t>
        </is>
      </c>
      <c r="B147" s="15" t="n">
        <v>9</v>
      </c>
      <c r="C147" s="15" t="inlineStr">
        <is>
          <t>Measurement</t>
        </is>
      </c>
      <c r="D147" s="15" t="n">
        <v>7</v>
      </c>
      <c r="E147" s="15" t="inlineStr">
        <is>
          <t>scale_factor_effect_on_area_and_volume</t>
        </is>
      </c>
      <c r="F147" s="15" t="inlineStr">
        <is>
          <t>y9_mea_07_scale_factor_effect_on_area_and_volume_v2.html</t>
        </is>
      </c>
      <c r="G147" s="15" t="inlineStr">
        <is>
          <t>AC9M9M03</t>
        </is>
      </c>
      <c r="H147" s="15" t="inlineStr">
        <is>
          <t>3,4</t>
        </is>
      </c>
      <c r="I147" s="15" t="inlineStr">
        <is>
          <t>Strict</t>
        </is>
      </c>
      <c r="J147" s="15" t="inlineStr">
        <is>
          <t>Spatial relationships in 1, 2 and 3 dimensions can be quantified using appropriate units to solve problems in various contexts</t>
        </is>
      </c>
      <c r="K147" s="15" t="inlineStr">
        <is>
          <t>Investigate the effect of scale factor k on area (× k²) and volume (× k³) for similar figures; apply to scaled models, photographs and original objects; estimate actual measurements from images using proportional reasoning.</t>
        </is>
      </c>
      <c r="L147" s="15" t="inlineStr">
        <is>
          <t>auto-marked</t>
        </is>
      </c>
      <c r="M147" s="15" t="inlineStr">
        <is>
          <t>y9_spa_05</t>
        </is>
      </c>
      <c r="N147" s="15" t="inlineStr">
        <is>
          <t>Planned</t>
        </is>
      </c>
      <c r="Q147" s="15" t="inlineStr">
        <is>
          <t>Overlaps with y9_spa_05 — M03 focus is on similar right triangles and applications; SP02 focus is on the enlargement transformation itself. Cross-tag noted.</t>
        </is>
      </c>
    </row>
    <row r="148" ht="15" customHeight="1" s="16">
      <c r="A148" s="15" t="inlineStr">
        <is>
          <t>y9_mea_08</t>
        </is>
      </c>
      <c r="B148" s="15" t="n">
        <v>9</v>
      </c>
      <c r="C148" s="15" t="inlineStr">
        <is>
          <t>Measurement</t>
        </is>
      </c>
      <c r="D148" s="15" t="n">
        <v>8</v>
      </c>
      <c r="E148" s="15" t="inlineStr">
        <is>
          <t>integrated_spatial_problem_solving</t>
        </is>
      </c>
      <c r="F148" s="15" t="inlineStr">
        <is>
          <t>y9_mea_08_integrated_spatial_problem_solving_v2.html</t>
        </is>
      </c>
      <c r="G148" s="15" t="inlineStr">
        <is>
          <t>AC9M9M03</t>
        </is>
      </c>
      <c r="H148" s="15" t="inlineStr">
        <is>
          <t>5,6</t>
        </is>
      </c>
      <c r="I148" s="15" t="inlineStr">
        <is>
          <t>Strict</t>
        </is>
      </c>
      <c r="J148" s="15" t="inlineStr">
        <is>
          <t>Spatial relationships in 1, 2 and 3 dimensions can be quantified using appropriate units to solve problems in various contexts</t>
        </is>
      </c>
      <c r="K148" s="15"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8" s="15" t="inlineStr">
        <is>
          <t>auto-marked + open-ended</t>
        </is>
      </c>
      <c r="M148" t="inlineStr">
        <is>
          <t>y9_mea_06,y9_mea_07</t>
        </is>
      </c>
      <c r="N148" s="15" t="inlineStr">
        <is>
          <t>Planned</t>
        </is>
      </c>
      <c r="Q148" t="inlineStr">
        <is>
          <t>Integration lesson — open-ended practice fits the conjecture/investigation flavour.</t>
        </is>
      </c>
    </row>
    <row r="149" ht="15" customHeight="1" s="16">
      <c r="A149" s="15" t="inlineStr">
        <is>
          <t>y9_mea_09</t>
        </is>
      </c>
      <c r="B149" s="15" t="n">
        <v>9</v>
      </c>
      <c r="C149" s="15" t="inlineStr">
        <is>
          <t>Measurement</t>
        </is>
      </c>
      <c r="D149" s="15" t="n">
        <v>9</v>
      </c>
      <c r="E149" s="15" t="inlineStr">
        <is>
          <t>absolute_relative_and_percentage_error</t>
        </is>
      </c>
      <c r="F149" s="15" t="inlineStr">
        <is>
          <t>y9_mea_09_absolute_relative_and_percentage_error_v2.html</t>
        </is>
      </c>
      <c r="G149" s="15" t="inlineStr">
        <is>
          <t>AC9M9M04</t>
        </is>
      </c>
      <c r="H149" s="15" t="inlineStr">
        <is>
          <t>1,2</t>
        </is>
      </c>
      <c r="I149" s="15" t="inlineStr">
        <is>
          <t>Strict</t>
        </is>
      </c>
      <c r="J149" s="15" t="inlineStr">
        <is>
          <t>Calculations are affected by sources of error and should be interpreted in the context of the problem</t>
        </is>
      </c>
      <c r="K149" s="15" t="inlineStr">
        <is>
          <t>Calculate absolute error |measured − exact|, relative error (absolute error ÷ exact value), and percentage error; use absolute value notation in the error formula; recognise that all measurements are estimates with associated uncertainty.</t>
        </is>
      </c>
      <c r="L149" s="15" t="inlineStr">
        <is>
          <t>auto-marked</t>
        </is>
      </c>
      <c r="M149" s="15" t="n"/>
      <c r="N149" s="15" t="inlineStr">
        <is>
          <t>Planned</t>
        </is>
      </c>
    </row>
    <row r="150" ht="15" customHeight="1" s="16">
      <c r="A150" s="15" t="inlineStr">
        <is>
          <t>y9_mea_10</t>
        </is>
      </c>
      <c r="B150" s="15" t="n">
        <v>9</v>
      </c>
      <c r="C150" s="15" t="inlineStr">
        <is>
          <t>Measurement</t>
        </is>
      </c>
      <c r="D150" s="15" t="n">
        <v>10</v>
      </c>
      <c r="E150" s="15" t="inlineStr">
        <is>
          <t>applying_error_to_real_contexts</t>
        </is>
      </c>
      <c r="F150" s="15" t="inlineStr">
        <is>
          <t>y9_mea_10_applying_error_to_real_contexts_v2.html</t>
        </is>
      </c>
      <c r="G150" s="15" t="inlineStr">
        <is>
          <t>AC9M9M04</t>
        </is>
      </c>
      <c r="H150" s="15" t="inlineStr">
        <is>
          <t>3,4</t>
        </is>
      </c>
      <c r="I150" s="15" t="inlineStr">
        <is>
          <t>Strict</t>
        </is>
      </c>
      <c r="J150" s="15" t="inlineStr">
        <is>
          <t>Calculations are affected by sources of error and should be interpreted in the context of the problem</t>
        </is>
      </c>
      <c r="K150" s="15" t="inlineStr">
        <is>
          <t>Apply error analysis to real contexts — percentage error in predicted vs actual event attendance; budgeted vs actual expenditure; give suitable lower and upper bounds for measurement values in practical contexts.</t>
        </is>
      </c>
      <c r="L150" s="15" t="inlineStr">
        <is>
          <t>auto-marked + open-ended</t>
        </is>
      </c>
      <c r="M150" t="inlineStr">
        <is>
          <t>y9_mea_09</t>
        </is>
      </c>
      <c r="N150" s="15" t="inlineStr">
        <is>
          <t>Planned</t>
        </is>
      </c>
      <c r="Q150" s="15" t="n"/>
    </row>
    <row r="151" ht="15" customHeight="1" s="16">
      <c r="A151" s="15" t="inlineStr">
        <is>
          <t>y9_mea_11</t>
        </is>
      </c>
      <c r="B151" s="15" t="n">
        <v>9</v>
      </c>
      <c r="C151" s="15" t="inlineStr">
        <is>
          <t>Measurement</t>
        </is>
      </c>
      <c r="D151" s="15" t="n">
        <v>11</v>
      </c>
      <c r="E151" s="15" t="inlineStr">
        <is>
          <t>modelling_with_direct_proportion</t>
        </is>
      </c>
      <c r="F151" s="15" t="inlineStr">
        <is>
          <t>y9_mea_11_modelling_with_direct_proportion_v2.html</t>
        </is>
      </c>
      <c r="G151" s="15" t="inlineStr">
        <is>
          <t>AC9M9M05</t>
        </is>
      </c>
      <c r="H151" s="15" t="inlineStr">
        <is>
          <t>1,2,3</t>
        </is>
      </c>
      <c r="I151" s="15" t="inlineStr">
        <is>
          <t>Strict</t>
        </is>
      </c>
      <c r="J151" s="15" t="inlineStr">
        <is>
          <t>Mathematical modelling can be used to represent and solve problems involving proportion, rates, ratios and scale, including in financial contexts</t>
        </is>
      </c>
      <c r="K151" s="15"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1" s="15" t="inlineStr">
        <is>
          <t>auto-marked + open-ended</t>
        </is>
      </c>
      <c r="M151" s="15" t="n"/>
      <c r="N151" s="15" t="inlineStr">
        <is>
          <t>Planned</t>
        </is>
      </c>
      <c r="Q151" t="inlineStr">
        <is>
          <t>Extends Y8 mea_14 scale and proportion work; Y9 adds the formal modelling cycle.</t>
        </is>
      </c>
    </row>
    <row r="152" ht="15" customHeight="1" s="16">
      <c r="A152" s="15" t="inlineStr">
        <is>
          <t>y9_mea_12</t>
        </is>
      </c>
      <c r="B152" s="15" t="n">
        <v>9</v>
      </c>
      <c r="C152" s="15" t="inlineStr">
        <is>
          <t>Measurement</t>
        </is>
      </c>
      <c r="D152" s="15" t="n">
        <v>12</v>
      </c>
      <c r="E152" s="15" t="inlineStr">
        <is>
          <t>applied_rate_modelling</t>
        </is>
      </c>
      <c r="F152" s="15" t="inlineStr">
        <is>
          <t>y9_mea_12_applied_rate_modelling_v2.html</t>
        </is>
      </c>
      <c r="G152" s="15" t="inlineStr">
        <is>
          <t>AC9M9M05</t>
        </is>
      </c>
      <c r="H152" s="15" t="inlineStr">
        <is>
          <t>4,5</t>
        </is>
      </c>
      <c r="I152" s="15" t="inlineStr">
        <is>
          <t>Strict</t>
        </is>
      </c>
      <c r="J152" s="15" t="inlineStr">
        <is>
          <t>Mathematical modelling can be used to represent and solve problems involving proportion, rates, ratios and scale, including in financial contexts</t>
        </is>
      </c>
      <c r="K152" s="15" t="inlineStr">
        <is>
          <t>Model applied rate contexts — density, birth rate, flow rate, heart rate; vehicle acceleration and deceleration; explore fire-spread rate techniques in First Nations Australians' land management under varying fuel types, wind, temperature and humidity.</t>
        </is>
      </c>
      <c r="L152" s="15" t="inlineStr">
        <is>
          <t>auto-marked + open-ended</t>
        </is>
      </c>
      <c r="M152" t="inlineStr">
        <is>
          <t>y9_mea_11</t>
        </is>
      </c>
      <c r="N152" s="15" t="inlineStr">
        <is>
          <t>Planned</t>
        </is>
      </c>
      <c r="Q152" s="15" t="n"/>
    </row>
    <row r="153" ht="15" customHeight="1" s="16">
      <c r="A153" s="15" t="inlineStr">
        <is>
          <t>y9_spa_01</t>
        </is>
      </c>
      <c r="B153" s="15" t="n">
        <v>9</v>
      </c>
      <c r="C153" s="15" t="inlineStr">
        <is>
          <t>Space</t>
        </is>
      </c>
      <c r="D153" s="15" t="n">
        <v>1</v>
      </c>
      <c r="E153" s="15" t="inlineStr">
        <is>
          <t>naming_sides_in_right_angled_triangles</t>
        </is>
      </c>
      <c r="F153" s="15" t="inlineStr">
        <is>
          <t>y9_spa_01_naming_sides_in_right_angled_triangles_v2.html</t>
        </is>
      </c>
      <c r="G153" s="15" t="inlineStr">
        <is>
          <t>AC9M9SP01</t>
        </is>
      </c>
      <c r="H153" s="15" t="inlineStr">
        <is>
          <t>1</t>
        </is>
      </c>
      <c r="I153" s="15" t="inlineStr">
        <is>
          <t>Strict</t>
        </is>
      </c>
      <c r="J153" s="15" t="inlineStr">
        <is>
          <t>Trigonometric ratios are an application of the property of similarity for right-angled triangles</t>
        </is>
      </c>
      <c r="K153" s="15"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3" s="15" t="inlineStr">
        <is>
          <t>auto-marked</t>
        </is>
      </c>
      <c r="M153" s="15" t="n"/>
      <c r="N153" s="15" t="inlineStr">
        <is>
          <t>Planned</t>
        </is>
      </c>
      <c r="Q153" s="15" t="inlineStr">
        <is>
          <t>Watershed lesson: getting the labels right is the foundation for all of trigonometry. Misnaming sides is the #1 trig misconception.</t>
        </is>
      </c>
    </row>
    <row r="154" ht="15" customHeight="1" s="16">
      <c r="A154" s="15" t="inlineStr">
        <is>
          <t>y9_spa_02</t>
        </is>
      </c>
      <c r="B154" s="15" t="n">
        <v>9</v>
      </c>
      <c r="C154" s="15" t="inlineStr">
        <is>
          <t>Space</t>
        </is>
      </c>
      <c r="D154" s="15" t="n">
        <v>2</v>
      </c>
      <c r="E154" s="15" t="inlineStr">
        <is>
          <t>discovering_constant_trig_ratios</t>
        </is>
      </c>
      <c r="F154" s="15" t="inlineStr">
        <is>
          <t>y9_spa_02_discovering_constant_trig_ratios_v2.html</t>
        </is>
      </c>
      <c r="G154" s="15" t="inlineStr">
        <is>
          <t>AC9M9SP01</t>
        </is>
      </c>
      <c r="H154" s="15" t="inlineStr">
        <is>
          <t>2,3</t>
        </is>
      </c>
      <c r="I154" s="15" t="inlineStr">
        <is>
          <t>Strict</t>
        </is>
      </c>
      <c r="J154" s="15" t="inlineStr">
        <is>
          <t>Trigonometric ratios are an application of the property of similarity for right-angled triangles</t>
        </is>
      </c>
      <c r="K154" s="15"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4" s="15" t="inlineStr">
        <is>
          <t>auto-marked + open-ended</t>
        </is>
      </c>
      <c r="M154" s="15" t="inlineStr">
        <is>
          <t>y9_spa_01</t>
        </is>
      </c>
      <c r="N154" s="15" t="inlineStr">
        <is>
          <t>Planned</t>
        </is>
      </c>
      <c r="Q154" s="15" t="inlineStr">
        <is>
          <t>Investigation lesson — practice should include some measure-and-tabulate items. The 'constancy' insight earns the formal definitions in spa_03.</t>
        </is>
      </c>
    </row>
    <row r="155" ht="15" customHeight="1" s="16">
      <c r="A155" s="15" t="inlineStr">
        <is>
          <t>y9_spa_03</t>
        </is>
      </c>
      <c r="B155" s="15" t="n">
        <v>9</v>
      </c>
      <c r="C155" s="15" t="inlineStr">
        <is>
          <t>Space</t>
        </is>
      </c>
      <c r="D155" s="15" t="n">
        <v>3</v>
      </c>
      <c r="E155" s="15" t="inlineStr">
        <is>
          <t>defining_sin_cos_tan</t>
        </is>
      </c>
      <c r="F155" s="15" t="inlineStr">
        <is>
          <t>y9_spa_03_defining_sin_cos_tan_v2.html</t>
        </is>
      </c>
      <c r="G155" s="15" t="inlineStr">
        <is>
          <t>AC9M9SP01</t>
        </is>
      </c>
      <c r="H155" s="15" t="inlineStr">
        <is>
          <t>3,4</t>
        </is>
      </c>
      <c r="I155" s="15" t="inlineStr">
        <is>
          <t>Strict</t>
        </is>
      </c>
      <c r="J155" s="15" t="inlineStr">
        <is>
          <t>Trigonometric ratios are an application of the property of similarity for right-angled triangles</t>
        </is>
      </c>
      <c r="K155" s="15" t="inlineStr">
        <is>
          <t>Define sin θ = opposite/hypotenuse, cos θ = adjacent/hypotenuse, tan θ = opposite/adjacent; read sin, cos, tan values from a calculator for any acute angle; connect tan θ to the gradient of a line passing through the origin.</t>
        </is>
      </c>
      <c r="L155" s="15" t="inlineStr">
        <is>
          <t>auto-marked</t>
        </is>
      </c>
      <c r="M155" t="inlineStr">
        <is>
          <t>y9_spa_02</t>
        </is>
      </c>
      <c r="N155" s="15" t="inlineStr">
        <is>
          <t>Planned</t>
        </is>
      </c>
      <c r="Q155" s="15" t="inlineStr">
        <is>
          <t>Watershed lesson: formal trig definitions. Mnemonics (SOH-CAH-TOA) introduced here. Cross-strand prereq for y9_mea_06.</t>
        </is>
      </c>
    </row>
    <row r="156" ht="15" customHeight="1" s="16">
      <c r="A156" s="15" t="inlineStr">
        <is>
          <t>y9_spa_04</t>
        </is>
      </c>
      <c r="B156" s="15" t="n">
        <v>9</v>
      </c>
      <c r="C156" s="15" t="inlineStr">
        <is>
          <t>Space</t>
        </is>
      </c>
      <c r="D156" s="15" t="n">
        <v>4</v>
      </c>
      <c r="E156" s="15" t="inlineStr">
        <is>
          <t>enlargement_transformation</t>
        </is>
      </c>
      <c r="F156" s="15" t="inlineStr">
        <is>
          <t>y9_spa_04_enlargement_transformation_v2.html</t>
        </is>
      </c>
      <c r="G156" s="15" t="inlineStr">
        <is>
          <t>AC9M9SP02</t>
        </is>
      </c>
      <c r="H156" s="15" t="inlineStr">
        <is>
          <t>1,2</t>
        </is>
      </c>
      <c r="I156" s="15" t="inlineStr">
        <is>
          <t>Strict</t>
        </is>
      </c>
      <c r="J156" s="15" t="inlineStr">
        <is>
          <t>Trigonometric ratios are an application of the property of similarity for right-angled triangles</t>
        </is>
      </c>
      <c r="K156" s="15" t="inlineStr">
        <is>
          <t>Apply the enlargement transformation to shapes using a centre of enlargement and a scale factor; recognise that corresponding angles are equal and corresponding sides are in a fixed ratio; solve enlargement problems using similarity.</t>
        </is>
      </c>
      <c r="L156" s="15" t="inlineStr">
        <is>
          <t>auto-marked</t>
        </is>
      </c>
      <c r="M156" s="15" t="n"/>
      <c r="N156" s="15" t="inlineStr">
        <is>
          <t>Planned</t>
        </is>
      </c>
      <c r="Q156" s="15" t="inlineStr">
        <is>
          <t>Builds on Y8 spa_01/03 similarity work.</t>
        </is>
      </c>
    </row>
    <row r="157" ht="15" customHeight="1" s="16">
      <c r="A157" s="15" t="inlineStr">
        <is>
          <t>y9_spa_05</t>
        </is>
      </c>
      <c r="B157" s="15" t="n">
        <v>9</v>
      </c>
      <c r="C157" s="15" t="inlineStr">
        <is>
          <t>Space</t>
        </is>
      </c>
      <c r="D157" s="15" t="n">
        <v>5</v>
      </c>
      <c r="E157" s="15" t="inlineStr">
        <is>
          <t>scale_factor_effect_on_area_and_volume</t>
        </is>
      </c>
      <c r="F157" s="15" t="inlineStr">
        <is>
          <t>y9_spa_05_scale_factor_effect_on_area_and_volume_v2.html</t>
        </is>
      </c>
      <c r="G157" s="15" t="inlineStr">
        <is>
          <t>AC9M9SP02</t>
        </is>
      </c>
      <c r="H157" s="15" t="inlineStr">
        <is>
          <t>3</t>
        </is>
      </c>
      <c r="I157" s="15" t="inlineStr">
        <is>
          <t>Strict</t>
        </is>
      </c>
      <c r="J157" s="15" t="inlineStr">
        <is>
          <t>Trigonometric ratios are an application of the property of similarity for right-angled triangles</t>
        </is>
      </c>
      <c r="K157" s="15" t="inlineStr">
        <is>
          <t>Investigate how enlargement by scale factor k affects area (× k²) and volume (× k³); compare side lengths, areas and volumes of similar squares and cubes for k = 2, 3, and fractional k; generalise the pattern to any similar 2D and 3D shape.</t>
        </is>
      </c>
      <c r="L157" s="15" t="inlineStr">
        <is>
          <t>auto-marked</t>
        </is>
      </c>
      <c r="M157" t="inlineStr">
        <is>
          <t>y9_spa_04</t>
        </is>
      </c>
      <c r="N157" s="15" t="inlineStr">
        <is>
          <t>Planned</t>
        </is>
      </c>
      <c r="Q157" s="15" t="inlineStr">
        <is>
          <t>Overlaps with y9_mea_07 — same content from the spatial-transformation angle. Both kept; complementary framings.</t>
        </is>
      </c>
    </row>
    <row r="158" ht="15" customHeight="1" s="16">
      <c r="A158" s="15" t="inlineStr">
        <is>
          <t>y9_spa_06</t>
        </is>
      </c>
      <c r="B158" s="15" t="n">
        <v>9</v>
      </c>
      <c r="C158" s="15" t="inlineStr">
        <is>
          <t>Space</t>
        </is>
      </c>
      <c r="D158" s="15" t="n">
        <v>6</v>
      </c>
      <c r="E158" s="15" t="inlineStr">
        <is>
          <t>algorithms_for_triangle_properties</t>
        </is>
      </c>
      <c r="F158" s="15" t="inlineStr">
        <is>
          <t>y9_spa_06_algorithms_for_triangle_properties_v2.html</t>
        </is>
      </c>
      <c r="G158" s="15" t="inlineStr">
        <is>
          <t>AC9M9SP03</t>
        </is>
      </c>
      <c r="H158" s="15" t="inlineStr">
        <is>
          <t>1</t>
        </is>
      </c>
      <c r="I158" s="15" t="inlineStr">
        <is>
          <t>Strict</t>
        </is>
      </c>
      <c r="J158" s="15" t="inlineStr">
        <is>
          <t>Trigonometric ratios are an application of the property of similarity for right-angled triangles</t>
        </is>
      </c>
      <c r="K158" s="15" t="inlineStr">
        <is>
          <t>Design an algorithm (flow chart or pseudocode) that applies the triangle inequality to determine whether three given lengths can form a triangle; design an alternative algorithm to generate Pythagorean triples systematically.</t>
        </is>
      </c>
      <c r="L158" s="15" t="inlineStr">
        <is>
          <t>strategy-MCQ</t>
        </is>
      </c>
      <c r="M158" s="15" t="n"/>
      <c r="N158" s="15" t="inlineStr">
        <is>
          <t>Planned</t>
        </is>
      </c>
      <c r="Q158" t="inlineStr">
        <is>
          <t>Strategy-MCQ matches the decision-tree algorithm-design content.</t>
        </is>
      </c>
    </row>
    <row r="159" ht="15" customHeight="1" s="16">
      <c r="A159" s="15" t="inlineStr">
        <is>
          <t>y9_spa_07</t>
        </is>
      </c>
      <c r="B159" s="15" t="n">
        <v>9</v>
      </c>
      <c r="C159" s="15" t="inlineStr">
        <is>
          <t>Space</t>
        </is>
      </c>
      <c r="D159" s="15" t="n">
        <v>7</v>
      </c>
      <c r="E159" s="15" t="inlineStr">
        <is>
          <t>algorithms_for_geometric_constructions</t>
        </is>
      </c>
      <c r="F159" s="15" t="inlineStr">
        <is>
          <t>y9_spa_07_algorithms_for_geometric_constructions_v2.html</t>
        </is>
      </c>
      <c r="G159" s="15" t="inlineStr">
        <is>
          <t>AC9M9SP03</t>
        </is>
      </c>
      <c r="H159" s="15" t="inlineStr">
        <is>
          <t>2,3</t>
        </is>
      </c>
      <c r="I159" s="15" t="inlineStr">
        <is>
          <t>Strict</t>
        </is>
      </c>
      <c r="J159" s="15" t="inlineStr">
        <is>
          <t>Trigonometric ratios are an application of the property of similarity for right-angled triangles</t>
        </is>
      </c>
      <c r="K159" s="15"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9" s="15" t="inlineStr">
        <is>
          <t>strategy-MCQ</t>
        </is>
      </c>
      <c r="M159" t="inlineStr">
        <is>
          <t>y9_spa_06</t>
        </is>
      </c>
      <c r="N159" s="15" t="inlineStr">
        <is>
          <t>Planned</t>
        </is>
      </c>
      <c r="Q159" s="15" t="n"/>
    </row>
    <row r="160" ht="15" customHeight="1" s="16">
      <c r="A160" s="15" t="inlineStr">
        <is>
          <t>y9_sta_01</t>
        </is>
      </c>
      <c r="B160" s="15" t="n">
        <v>9</v>
      </c>
      <c r="C160" s="15" t="inlineStr">
        <is>
          <t>Statistics</t>
        </is>
      </c>
      <c r="D160" s="15" t="n">
        <v>1</v>
      </c>
      <c r="E160" s="15" t="inlineStr">
        <is>
          <t>analysing_statistical_reports</t>
        </is>
      </c>
      <c r="F160" s="15" t="inlineStr">
        <is>
          <t>y9_sta_01_analysing_statistical_reports_v2.html</t>
        </is>
      </c>
      <c r="G160" s="15" t="inlineStr">
        <is>
          <t>AC9M9ST01</t>
        </is>
      </c>
      <c r="H160" s="15" t="inlineStr">
        <is>
          <t>1,2,3,4</t>
        </is>
      </c>
      <c r="I160" s="15" t="inlineStr">
        <is>
          <t>Strict</t>
        </is>
      </c>
      <c r="J160" s="15" t="inlineStr">
        <is>
          <t>Statistical reports provide data and analysis to support conclusions and acknowledge the strength of the evidence</t>
        </is>
      </c>
      <c r="K160" s="15"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60" s="15" t="inlineStr">
        <is>
          <t>strategy-MCQ</t>
        </is>
      </c>
      <c r="M160" s="15" t="n"/>
      <c r="N160" s="15" t="inlineStr">
        <is>
          <t>Planned</t>
        </is>
      </c>
      <c r="Q160" s="15" t="inlineStr">
        <is>
          <t>Strategy-MCQ suits 'which claim is supported?' question type. Two SA CUs sit under this descriptor — emphasis here is on the reports/evidence-strength angle.</t>
        </is>
      </c>
    </row>
    <row r="161" ht="15" customHeight="1" s="16">
      <c r="A161" s="15" t="inlineStr">
        <is>
          <t>y9_sta_02</t>
        </is>
      </c>
      <c r="B161" s="15" t="n">
        <v>9</v>
      </c>
      <c r="C161" s="15" t="inlineStr">
        <is>
          <t>Statistics</t>
        </is>
      </c>
      <c r="D161" s="15" t="n">
        <v>2</v>
      </c>
      <c r="E161" s="15" t="inlineStr">
        <is>
          <t>sampling_methods_and_misleading_representations</t>
        </is>
      </c>
      <c r="F161" s="15" t="inlineStr">
        <is>
          <t>y9_sta_02_sampling_methods_and_misleading_representations_v2.html</t>
        </is>
      </c>
      <c r="G161" s="15" t="inlineStr">
        <is>
          <t>AC9M9ST02</t>
        </is>
      </c>
      <c r="H161" s="15" t="inlineStr">
        <is>
          <t>1,2,3</t>
        </is>
      </c>
      <c r="I161" s="15" t="inlineStr">
        <is>
          <t>Strict</t>
        </is>
      </c>
      <c r="J161" s="15" t="inlineStr">
        <is>
          <t>Sampling methods can affect and bias the results of data collection</t>
        </is>
      </c>
      <c r="K161" s="15"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1" s="15" t="inlineStr">
        <is>
          <t>strategy-MCQ</t>
        </is>
      </c>
      <c r="M161" t="inlineStr">
        <is>
          <t>y9_sta_01</t>
        </is>
      </c>
      <c r="N161" s="15" t="inlineStr">
        <is>
          <t>Planned</t>
        </is>
      </c>
      <c r="Q161" s="15" t="inlineStr">
        <is>
          <t>Builds on Y8 sta_02 bias work; Y9 adds the visualisation/representation angle.</t>
        </is>
      </c>
    </row>
    <row r="162" ht="15" customHeight="1" s="16">
      <c r="A162" s="15" t="inlineStr">
        <is>
          <t>y9_sta_03</t>
        </is>
      </c>
      <c r="B162" s="15" t="n">
        <v>9</v>
      </c>
      <c r="C162" s="15" t="inlineStr">
        <is>
          <t>Statistics</t>
        </is>
      </c>
      <c r="D162" s="15" t="n">
        <v>3</v>
      </c>
      <c r="E162" s="15" t="inlineStr">
        <is>
          <t>comparing_distributions_visually</t>
        </is>
      </c>
      <c r="F162" s="15" t="inlineStr">
        <is>
          <t>y9_sta_03_comparing_distributions_visually_v2.html</t>
        </is>
      </c>
      <c r="G162" s="15" t="inlineStr">
        <is>
          <t>AC9M9ST03</t>
        </is>
      </c>
      <c r="H162" s="15" t="inlineStr">
        <is>
          <t>1,2</t>
        </is>
      </c>
      <c r="I162" s="15" t="inlineStr">
        <is>
          <t>Strict</t>
        </is>
      </c>
      <c r="J162" s="15" t="inlineStr">
        <is>
          <t>Different representations of data distributions can be used to compare features such as centre, shape and spread</t>
        </is>
      </c>
      <c r="K162" s="15" t="inlineStr">
        <is>
          <t>Compare two data sets using parallel dot plots and back-to-back stem-and-leaf plots; describe similarities and differences in centre, spread and shape using terms like positive skew, negative skew, symmetric, bi-modal.</t>
        </is>
      </c>
      <c r="L162" s="15" t="inlineStr">
        <is>
          <t>auto-marked</t>
        </is>
      </c>
      <c r="M162" s="15" t="n"/>
      <c r="N162" s="15" t="inlineStr">
        <is>
          <t>Planned</t>
        </is>
      </c>
      <c r="Q162" t="inlineStr">
        <is>
          <t>Builds on Y8 sta_04/05 sampling and distribution work.</t>
        </is>
      </c>
    </row>
    <row r="163" ht="15" customHeight="1" s="16">
      <c r="A163" s="15" t="inlineStr">
        <is>
          <t>y9_sta_04</t>
        </is>
      </c>
      <c r="B163" s="15" t="n">
        <v>9</v>
      </c>
      <c r="C163" s="15" t="inlineStr">
        <is>
          <t>Statistics</t>
        </is>
      </c>
      <c r="D163" s="15" t="n">
        <v>4</v>
      </c>
      <c r="E163" s="15" t="inlineStr">
        <is>
          <t>grouped_histograms_and_distribution_shape</t>
        </is>
      </c>
      <c r="F163" s="15" t="inlineStr">
        <is>
          <t>y9_sta_04_grouped_histograms_and_distribution_shape_v2.html</t>
        </is>
      </c>
      <c r="G163" s="15" t="inlineStr">
        <is>
          <t>AC9M9ST03</t>
        </is>
      </c>
      <c r="H163" s="15" t="inlineStr">
        <is>
          <t>3,4</t>
        </is>
      </c>
      <c r="I163" s="15" t="inlineStr">
        <is>
          <t>Strict</t>
        </is>
      </c>
      <c r="J163" s="15" t="inlineStr">
        <is>
          <t>Different representations of data distributions can be used to compare features such as centre, shape and spread</t>
        </is>
      </c>
      <c r="K163" s="15" t="inlineStr">
        <is>
          <t>Construct and interpret grouped histograms — age-grouped health data such as lung cancer, leukaemia, stroke; describe distribution shape and explain its connection to the relative positions of mean and median; explore Closing the Gap report data.</t>
        </is>
      </c>
      <c r="L163" s="15" t="inlineStr">
        <is>
          <t>auto-marked</t>
        </is>
      </c>
      <c r="M163" s="15" t="inlineStr">
        <is>
          <t>y9_sta_03</t>
        </is>
      </c>
      <c r="N163" s="15" t="inlineStr">
        <is>
          <t>Planned</t>
        </is>
      </c>
      <c r="Q163" s="15" t="n"/>
    </row>
    <row r="164" ht="15" customHeight="1" s="16">
      <c r="A164" s="15" t="inlineStr">
        <is>
          <t>y9_sta_05</t>
        </is>
      </c>
      <c r="B164" s="15" t="n">
        <v>9</v>
      </c>
      <c r="C164" s="15" t="inlineStr">
        <is>
          <t>Statistics</t>
        </is>
      </c>
      <c r="D164" s="15" t="n">
        <v>5</v>
      </c>
      <c r="E164" s="15" t="inlineStr">
        <is>
          <t>choosing_the_right_data_display</t>
        </is>
      </c>
      <c r="F164" s="15" t="inlineStr">
        <is>
          <t>y9_sta_05_choosing_the_right_data_display_v2.html</t>
        </is>
      </c>
      <c r="G164" s="15" t="inlineStr">
        <is>
          <t>AC9M9ST04</t>
        </is>
      </c>
      <c r="H164" s="15" t="inlineStr">
        <is>
          <t>1,2,3,4</t>
        </is>
      </c>
      <c r="I164" s="15" t="inlineStr">
        <is>
          <t>Strict</t>
        </is>
      </c>
      <c r="J164" s="15" t="inlineStr">
        <is>
          <t>Different representations of data distributions can be used to compare features such as centre, shape and spread</t>
        </is>
      </c>
      <c r="K164" s="15"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4" s="15" t="inlineStr">
        <is>
          <t>matching</t>
        </is>
      </c>
      <c r="M164" s="15" t="inlineStr">
        <is>
          <t>y9_sta_04</t>
        </is>
      </c>
      <c r="N164" s="15" t="inlineStr">
        <is>
          <t>Planned</t>
        </is>
      </c>
      <c r="Q164" s="15" t="inlineStr">
        <is>
          <t>Matching practice — display ↔ data type ↔ purpose pairings.</t>
        </is>
      </c>
    </row>
    <row r="165" ht="15" customHeight="1" s="16">
      <c r="A165" s="15" t="inlineStr">
        <is>
          <t>y9_sta_06</t>
        </is>
      </c>
      <c r="B165" s="15" t="n">
        <v>9</v>
      </c>
      <c r="C165" s="15" t="inlineStr">
        <is>
          <t>Statistics</t>
        </is>
      </c>
      <c r="D165" s="15" t="n">
        <v>6</v>
      </c>
      <c r="E165" s="15" t="inlineStr">
        <is>
          <t>full_statistical_investigation_with_secondary_data</t>
        </is>
      </c>
      <c r="F165" s="15" t="inlineStr">
        <is>
          <t>y9_sta_06_full_statistical_investigation_with_secondary_data_v2.html</t>
        </is>
      </c>
      <c r="G165" s="15" t="inlineStr">
        <is>
          <t>AC9M9ST05</t>
        </is>
      </c>
      <c r="H165" s="15" t="inlineStr">
        <is>
          <t>1,2,3,4</t>
        </is>
      </c>
      <c r="I165" s="15" t="inlineStr">
        <is>
          <t>Strict</t>
        </is>
      </c>
      <c r="J165" s="15" t="inlineStr">
        <is>
          <t>Statistical reports provide data and analysis to support conclusions and acknowledge the strength of the evidence</t>
        </is>
      </c>
      <c r="K165" s="15"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5" s="15" t="inlineStr">
        <is>
          <t>auto-marked + open-ended</t>
        </is>
      </c>
      <c r="M165" t="inlineStr">
        <is>
          <t>y9_sta_05</t>
        </is>
      </c>
      <c r="N165" s="15" t="inlineStr">
        <is>
          <t>Planned</t>
        </is>
      </c>
      <c r="Q165" s="15" t="inlineStr">
        <is>
          <t>Capstone — extends Y7 sta_05 and Y8 sta_06 with explicit secondary-source work.</t>
        </is>
      </c>
    </row>
    <row r="166" ht="15" customHeight="1" s="16">
      <c r="A166" s="15" t="inlineStr">
        <is>
          <t>y9_pro_01</t>
        </is>
      </c>
      <c r="B166" s="15" t="n">
        <v>9</v>
      </c>
      <c r="C166" s="15" t="inlineStr">
        <is>
          <t>Probability</t>
        </is>
      </c>
      <c r="D166" s="15" t="n">
        <v>1</v>
      </c>
      <c r="E166" s="15" t="inlineStr">
        <is>
          <t>two_step_compound_events</t>
        </is>
      </c>
      <c r="F166" s="15" t="inlineStr">
        <is>
          <t>y9_pro_01_two_step_compound_events_v2.html</t>
        </is>
      </c>
      <c r="G166" s="15" t="inlineStr">
        <is>
          <t>AC9M9P01</t>
        </is>
      </c>
      <c r="H166" s="15" t="inlineStr">
        <is>
          <t>1,2,4</t>
        </is>
      </c>
      <c r="I166" s="15" t="inlineStr">
        <is>
          <t>Strict</t>
        </is>
      </c>
      <c r="J166" s="15" t="inlineStr">
        <is>
          <t>The likelihood of an event occurring can be affected by another event that has already taken place</t>
        </is>
      </c>
      <c r="K166" s="15" t="inlineStr">
        <is>
          <t>Use lists and arrays to record outcomes of two-step compound experiments — the Heads and Tails game, drawing two team leaders from a class; calculate probabilities by counting favourable outcomes over total outcomes.</t>
        </is>
      </c>
      <c r="L166" s="15" t="inlineStr">
        <is>
          <t>auto-marked</t>
        </is>
      </c>
      <c r="M166" s="15" t="n"/>
      <c r="N166" s="15" t="inlineStr">
        <is>
          <t>Planned</t>
        </is>
      </c>
      <c r="Q166" s="15" t="inlineStr">
        <is>
          <t>Extends Y8 pro_02/03 two-event work; Y9 emphasis is on the systematic listing of compound outcomes.</t>
        </is>
      </c>
    </row>
    <row r="167" ht="15" customHeight="1" s="16">
      <c r="A167" s="15" t="inlineStr">
        <is>
          <t>y9_pro_02</t>
        </is>
      </c>
      <c r="B167" s="15" t="n">
        <v>9</v>
      </c>
      <c r="C167" s="15" t="inlineStr">
        <is>
          <t>Probability</t>
        </is>
      </c>
      <c r="D167" s="15" t="n">
        <v>2</v>
      </c>
      <c r="E167" s="15" t="inlineStr">
        <is>
          <t>tree_diagrams_with_and_without_replacement</t>
        </is>
      </c>
      <c r="F167" s="15" t="inlineStr">
        <is>
          <t>y9_pro_02_tree_diagrams_with_and_without_replacement_v2.html</t>
        </is>
      </c>
      <c r="G167" s="15" t="inlineStr">
        <is>
          <t>AC9M9P01</t>
        </is>
      </c>
      <c r="H167" s="15" t="inlineStr">
        <is>
          <t>3,4</t>
        </is>
      </c>
      <c r="I167" s="15" t="inlineStr">
        <is>
          <t>Strict</t>
        </is>
      </c>
      <c r="J167" s="15" t="inlineStr">
        <is>
          <t>The likelihood of an event occurring can be affected by another event that has already taken place</t>
        </is>
      </c>
      <c r="K167" s="15" t="inlineStr">
        <is>
          <t>Use tree diagrams to represent two- and three-step compound events; contrast experiments with and without replacement (e.g. drawing 3 cards from a deck); multiply probabilities along each path and sum across paths for the target event.</t>
        </is>
      </c>
      <c r="L167" s="15" t="inlineStr">
        <is>
          <t>auto-marked</t>
        </is>
      </c>
      <c r="M167" s="15" t="inlineStr">
        <is>
          <t>y9_pro_01</t>
        </is>
      </c>
      <c r="N167" s="15" t="inlineStr">
        <is>
          <t>Planned</t>
        </is>
      </c>
      <c r="Q167" t="inlineStr">
        <is>
          <t>With/without replacement is the watershed concept — introduces conditional probability informally.</t>
        </is>
      </c>
    </row>
    <row r="168" ht="15" customHeight="1" s="16">
      <c r="A168" s="15" t="inlineStr">
        <is>
          <t>y9_pro_03</t>
        </is>
      </c>
      <c r="B168" s="15" t="n">
        <v>9</v>
      </c>
      <c r="C168" s="15" t="inlineStr">
        <is>
          <t>Probability</t>
        </is>
      </c>
      <c r="D168" s="15" t="n">
        <v>3</v>
      </c>
      <c r="E168" s="15" t="inlineStr">
        <is>
          <t>relative_frequency_for_and_or_events</t>
        </is>
      </c>
      <c r="F168" s="15" t="inlineStr">
        <is>
          <t>y9_pro_03_relative_frequency_for_and_or_events_v2.html</t>
        </is>
      </c>
      <c r="G168" s="15" t="inlineStr">
        <is>
          <t>AC9M9P02</t>
        </is>
      </c>
      <c r="H168" s="15" t="inlineStr">
        <is>
          <t>1,2</t>
        </is>
      </c>
      <c r="I168" s="15" t="inlineStr">
        <is>
          <t>Strict</t>
        </is>
      </c>
      <c r="J168" s="15" t="inlineStr">
        <is>
          <t>Theoretical probabilities are based on the characteristics of an experiment and can be used to predict relative frequencies of experimental data</t>
        </is>
      </c>
      <c r="K168" s="15" t="inlineStr">
        <is>
          <t>Use relative frequencies from historical or experimental data to estimate probabilities of events; use Venn diagrams and two-way tables to handle events involving 'and', inclusive 'or' (A or B or both), and exclusive 'or' (A or B but not both).</t>
        </is>
      </c>
      <c r="L168" s="15" t="inlineStr">
        <is>
          <t>auto-marked</t>
        </is>
      </c>
      <c r="M168" s="15" t="inlineStr">
        <is>
          <t>y9_pro_02</t>
        </is>
      </c>
      <c r="N168" s="15" t="inlineStr">
        <is>
          <t>Planned</t>
        </is>
      </c>
      <c r="Q168" s="15" t="n"/>
    </row>
    <row r="169" ht="15" customHeight="1" s="16">
      <c r="A169" s="15" t="inlineStr">
        <is>
          <t>y9_pro_04</t>
        </is>
      </c>
      <c r="B169" s="15" t="n">
        <v>9</v>
      </c>
      <c r="C169" s="15" t="inlineStr">
        <is>
          <t>Probability</t>
        </is>
      </c>
      <c r="D169" s="15" t="n">
        <v>4</v>
      </c>
      <c r="E169" s="15" t="inlineStr">
        <is>
          <t>simulating_compound_events_with_replacement_comparison</t>
        </is>
      </c>
      <c r="F169" s="15" t="inlineStr">
        <is>
          <t>y9_pro_04_simulating_compound_events_with_replacement_comparison_v2.html</t>
        </is>
      </c>
      <c r="G169" s="15" t="inlineStr">
        <is>
          <t>AC9M9P03</t>
        </is>
      </c>
      <c r="H169" s="15" t="inlineStr">
        <is>
          <t>1,2,3,4</t>
        </is>
      </c>
      <c r="I169" s="15" t="inlineStr">
        <is>
          <t>Strict</t>
        </is>
      </c>
      <c r="J169" s="15" t="inlineStr">
        <is>
          <t>The probability of compound events is related to the probability of the associated simple events and can be calculated in the context of the experiment</t>
        </is>
      </c>
      <c r="K169" s="15"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9" s="15" t="inlineStr">
        <is>
          <t>auto-marked + open-ended</t>
        </is>
      </c>
      <c r="M169" t="inlineStr">
        <is>
          <t>y9_pro_02,y9_pro_03</t>
        </is>
      </c>
      <c r="N169" s="15" t="inlineStr">
        <is>
          <t>Planned</t>
        </is>
      </c>
      <c r="Q169" s="15" t="inlineStr">
        <is>
          <t>Builds directly on Y8 pro_04 simulation work; Y9 adds the with/without-replacement contrast.</t>
        </is>
      </c>
    </row>
    <row r="170" ht="15" customHeight="1" s="16">
      <c r="A170" s="15" t="inlineStr">
        <is>
          <t>y10_num_01</t>
        </is>
      </c>
      <c r="B170" s="15" t="n">
        <v>10</v>
      </c>
      <c r="C170" s="15" t="inlineStr">
        <is>
          <t>Number</t>
        </is>
      </c>
      <c r="D170" s="15" t="n">
        <v>1</v>
      </c>
      <c r="E170" s="15" t="inlineStr">
        <is>
          <t>truncation_and_rounding_effects</t>
        </is>
      </c>
      <c r="F170" s="15" t="inlineStr">
        <is>
          <t>y10_num_01_truncation_and_rounding_effects_v2.html</t>
        </is>
      </c>
      <c r="G170" s="15" t="inlineStr">
        <is>
          <t>AC9M10N01</t>
        </is>
      </c>
      <c r="H170" s="15" t="inlineStr">
        <is>
          <t>1</t>
        </is>
      </c>
      <c r="I170" s="15" t="inlineStr">
        <is>
          <t>Strict</t>
        </is>
      </c>
      <c r="J170" s="15" t="inlineStr">
        <is>
          <t>Using approximations rather than exact values affects the accuracy of results in both single and multiple calculations</t>
        </is>
      </c>
      <c r="K170" s="15"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70" s="15" t="inlineStr">
        <is>
          <t>auto-marked</t>
        </is>
      </c>
      <c r="M170" s="15" t="n"/>
      <c r="N170" s="15" t="inlineStr">
        <is>
          <t>Planned</t>
        </is>
      </c>
      <c r="Q170" s="15" t="inlineStr">
        <is>
          <t>Foundation lesson for N01 — sets up the exact-versus-approximate distinction that drives the compound-shapes and finance work in y10_num_02 and y10_alg_16 (compound interest).</t>
        </is>
      </c>
    </row>
    <row r="171" ht="15" customHeight="1" s="16">
      <c r="A171" s="15" t="inlineStr">
        <is>
          <t>y10_num_02</t>
        </is>
      </c>
      <c r="B171" s="15" t="n">
        <v>10</v>
      </c>
      <c r="C171" s="15" t="inlineStr">
        <is>
          <t>Number</t>
        </is>
      </c>
      <c r="D171" s="15" t="n">
        <v>2</v>
      </c>
      <c r="E171" s="15" t="inlineStr">
        <is>
          <t>compounding_approximation_in_compound_calculations</t>
        </is>
      </c>
      <c r="F171" s="15" t="inlineStr">
        <is>
          <t>y10_num_02_compounding_approximation_in_compound_calculations_v2.html</t>
        </is>
      </c>
      <c r="G171" s="15" t="inlineStr">
        <is>
          <t>AC9M10N01, AC9M10M04</t>
        </is>
      </c>
      <c r="H171" s="15" t="inlineStr">
        <is>
          <t>2 (N01); 3 (M04)</t>
        </is>
      </c>
      <c r="I171" s="15" t="inlineStr">
        <is>
          <t>Strict + cross-tag</t>
        </is>
      </c>
      <c r="J171" s="15" t="inlineStr">
        <is>
          <t>Using approximations rather than exact values affects the accuracy of results in both single and multiple calculations</t>
        </is>
      </c>
      <c r="K171" s="15"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1" s="15" t="inlineStr">
        <is>
          <t>auto-marked + open-ended</t>
        </is>
      </c>
      <c r="M171" t="inlineStr">
        <is>
          <t>y10_num_01</t>
        </is>
      </c>
      <c r="N171" s="15" t="inlineStr">
        <is>
          <t>Planned</t>
        </is>
      </c>
      <c r="Q171" s="15"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2" ht="15" customHeight="1" s="16">
      <c r="A172" s="15" t="inlineStr">
        <is>
          <t>y10_alg_01</t>
        </is>
      </c>
      <c r="B172" s="15" t="n">
        <v>10</v>
      </c>
      <c r="C172" s="15" t="inlineStr">
        <is>
          <t>Algebra</t>
        </is>
      </c>
      <c r="D172" s="15" t="n">
        <v>1</v>
      </c>
      <c r="E172" s="15" t="inlineStr">
        <is>
          <t>expanding_special_products_and_non_monic</t>
        </is>
      </c>
      <c r="F172" s="15" t="inlineStr">
        <is>
          <t>y10_alg_01_expanding_special_products_and_non_monic_v2.html</t>
        </is>
      </c>
      <c r="G172" s="15" t="inlineStr">
        <is>
          <t>AC9M10A01</t>
        </is>
      </c>
      <c r="H172" s="15" t="inlineStr">
        <is>
          <t>1</t>
        </is>
      </c>
      <c r="I172" s="15" t="inlineStr">
        <is>
          <t>Strict</t>
        </is>
      </c>
      <c r="J172" s="15" t="inlineStr">
        <is>
          <t>Relationships between variables can be described and modelled by linear, quadratic and exponential functions applied in many contexts including financial ones</t>
        </is>
      </c>
      <c r="K172" s="15"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2" s="15" t="inlineStr">
        <is>
          <t>auto-marked</t>
        </is>
      </c>
      <c r="M172" s="15" t="n"/>
      <c r="N172" s="15" t="inlineStr">
        <is>
          <t>Planned</t>
        </is>
      </c>
      <c r="Q172" s="15" t="inlineStr">
        <is>
          <t>Builds directly on Y9 alg_03 (monic binomial products) — Y10 extends to non-monic and formalises the three special products. Area model justification carries through.</t>
        </is>
      </c>
    </row>
    <row r="173" ht="15" customHeight="1" s="16">
      <c r="A173" s="15" t="inlineStr">
        <is>
          <t>y10_alg_02</t>
        </is>
      </c>
      <c r="B173" s="15" t="n">
        <v>10</v>
      </c>
      <c r="C173" s="15" t="inlineStr">
        <is>
          <t>Algebra</t>
        </is>
      </c>
      <c r="D173" s="15" t="n">
        <v>2</v>
      </c>
      <c r="E173" s="15" t="inlineStr">
        <is>
          <t>factorising_quadratics_special_and_non_monic</t>
        </is>
      </c>
      <c r="F173" s="15" t="inlineStr">
        <is>
          <t>y10_alg_02_factorising_quadratics_special_and_non_monic_v2.html</t>
        </is>
      </c>
      <c r="G173" s="15" t="inlineStr">
        <is>
          <t>AC9M10A01</t>
        </is>
      </c>
      <c r="H173" s="15" t="inlineStr">
        <is>
          <t>1</t>
        </is>
      </c>
      <c r="I173" s="15" t="inlineStr">
        <is>
          <t>Strict</t>
        </is>
      </c>
      <c r="J173" s="15" t="inlineStr">
        <is>
          <t>Relationships between variables can be described and modelled by linear, quadratic and exponential functions applied in many contexts including financial ones</t>
        </is>
      </c>
      <c r="K173" s="15"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3" s="15" t="inlineStr">
        <is>
          <t>auto-marked</t>
        </is>
      </c>
      <c r="M173" s="15" t="inlineStr">
        <is>
          <t>y10_alg_01</t>
        </is>
      </c>
      <c r="N173" s="15" t="inlineStr">
        <is>
          <t>Planned</t>
        </is>
      </c>
      <c r="Q173" s="15" t="inlineStr">
        <is>
          <t>Watershed lesson: AC method is the threshold technique for non-monic factorising. HCF-first habit prevents over-complicated splits.</t>
        </is>
      </c>
    </row>
    <row r="174" ht="15" customHeight="1" s="16">
      <c r="A174" s="15" t="inlineStr">
        <is>
          <t>y10_alg_03</t>
        </is>
      </c>
      <c r="B174" s="15" t="n">
        <v>10</v>
      </c>
      <c r="C174" s="15" t="inlineStr">
        <is>
          <t>Algebra</t>
        </is>
      </c>
      <c r="D174" s="15" t="n">
        <v>3</v>
      </c>
      <c r="E174" s="15" t="inlineStr">
        <is>
          <t>completing_the_square</t>
        </is>
      </c>
      <c r="F174" s="15" t="inlineStr">
        <is>
          <t>y10_alg_03_completing_the_square_v2.html</t>
        </is>
      </c>
      <c r="G174" s="15" t="inlineStr">
        <is>
          <t>AC9M10A01</t>
        </is>
      </c>
      <c r="H174" s="15" t="inlineStr">
        <is>
          <t>1</t>
        </is>
      </c>
      <c r="I174" s="15" t="inlineStr">
        <is>
          <t>Strict</t>
        </is>
      </c>
      <c r="J174" s="15" t="inlineStr">
        <is>
          <t>Relationships between variables can be described and modelled by linear, quadratic and exponential functions applied in many contexts including financial ones</t>
        </is>
      </c>
      <c r="K174" s="15"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4" s="15" t="inlineStr">
        <is>
          <t>auto-marked</t>
        </is>
      </c>
      <c r="M174" s="15" t="inlineStr">
        <is>
          <t>y10_alg_01,y10_alg_02</t>
        </is>
      </c>
      <c r="N174" s="15" t="inlineStr">
        <is>
          <t>Planned</t>
        </is>
      </c>
      <c r="Q174" s="15" t="inlineStr">
        <is>
          <t>Watershed lesson: completing the square is the central manipulation that unlocks the quadratic formula derivation and the turning-point form. Geometric interpretation links back to y9_alg_16 transformations of quadratics.</t>
        </is>
      </c>
    </row>
    <row r="175" ht="15" customHeight="1" s="16">
      <c r="A175" s="15" t="inlineStr">
        <is>
          <t>y10_alg_04</t>
        </is>
      </c>
      <c r="B175" s="15" t="n">
        <v>10</v>
      </c>
      <c r="C175" s="15" t="inlineStr">
        <is>
          <t>Algebra</t>
        </is>
      </c>
      <c r="D175" s="15" t="n">
        <v>4</v>
      </c>
      <c r="E175" s="15" t="inlineStr">
        <is>
          <t>solving_quadratics_and_quadratic_formula</t>
        </is>
      </c>
      <c r="F175" s="15" t="inlineStr">
        <is>
          <t>y10_alg_04_solving_quadratics_and_quadratic_formula_v2.html</t>
        </is>
      </c>
      <c r="G175" s="15" t="inlineStr">
        <is>
          <t>AC9M10A01</t>
        </is>
      </c>
      <c r="H175" s="15" t="inlineStr">
        <is>
          <t>1</t>
        </is>
      </c>
      <c r="I175" s="15" t="inlineStr">
        <is>
          <t>Implied</t>
        </is>
      </c>
      <c r="J175" s="15" t="inlineStr">
        <is>
          <t>Relationships between variables can be described and modelled by linear, quadratic and exponential functions applied in many contexts including financial ones</t>
        </is>
      </c>
      <c r="K175" s="15"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5" s="15" t="inlineStr">
        <is>
          <t>auto-marked</t>
        </is>
      </c>
      <c r="M175" t="inlineStr">
        <is>
          <t>y10_alg_02,y10_alg_03</t>
        </is>
      </c>
      <c r="N175" s="15" t="inlineStr">
        <is>
          <t>Planned</t>
        </is>
      </c>
      <c r="Q175" s="15" t="inlineStr">
        <is>
          <t>Implied: AC9 descriptor says 'solve equations algebraically' but no elaboration explicitly names the quadratic formula. Standard SA Y10 / Y10A content. Watershed lesson — formula derivation gives meaning rather than mystery.</t>
        </is>
      </c>
    </row>
    <row r="176" ht="15" customHeight="1" s="16">
      <c r="A176" s="15" t="inlineStr">
        <is>
          <t>y10_alg_05</t>
        </is>
      </c>
      <c r="B176" s="15" t="n">
        <v>10</v>
      </c>
      <c r="C176" s="15" t="inlineStr">
        <is>
          <t>Algebra</t>
        </is>
      </c>
      <c r="D176" s="15" t="n">
        <v>5</v>
      </c>
      <c r="E176" s="15" t="inlineStr">
        <is>
          <t>simplifying_with_negative_exponents_and_variables</t>
        </is>
      </c>
      <c r="F176" s="15" t="inlineStr">
        <is>
          <t>y10_alg_05_simplifying_with_negative_exponents_and_variables_v2.html</t>
        </is>
      </c>
      <c r="G176" s="15" t="inlineStr">
        <is>
          <t>AC9M10A01</t>
        </is>
      </c>
      <c r="H176" s="15" t="inlineStr">
        <is>
          <t>2</t>
        </is>
      </c>
      <c r="I176" s="15" t="inlineStr">
        <is>
          <t>Strict</t>
        </is>
      </c>
      <c r="J176" s="15" t="inlineStr">
        <is>
          <t>Relationships between variables can be described and modelled by linear, quadratic and exponential functions applied in many contexts including financial ones</t>
        </is>
      </c>
      <c r="K176" s="1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6" s="15" t="inlineStr">
        <is>
          <t>auto-marked</t>
        </is>
      </c>
      <c r="N176" s="15" t="inlineStr">
        <is>
          <t>Planned</t>
        </is>
      </c>
      <c r="Q176" s="15" t="inlineStr">
        <is>
          <t>Builds on Y9 alg_01 (negative exponents on numerals) and alg_02 (exponent laws with variables) — Y10 extends to multi-variable expressions with negative exponents.</t>
        </is>
      </c>
    </row>
    <row r="177" ht="15" customHeight="1" s="16">
      <c r="A177" s="15" t="inlineStr">
        <is>
          <t>y10_alg_06</t>
        </is>
      </c>
      <c r="B177" s="15" t="n">
        <v>10</v>
      </c>
      <c r="C177" s="15" t="inlineStr">
        <is>
          <t>Algebra</t>
        </is>
      </c>
      <c r="D177" s="15" t="n">
        <v>6</v>
      </c>
      <c r="E177" s="15" t="inlineStr">
        <is>
          <t>solving_simultaneous_equations_graphically</t>
        </is>
      </c>
      <c r="F177" s="15" t="inlineStr">
        <is>
          <t>y10_alg_06_solving_simultaneous_equations_graphically_v2.html</t>
        </is>
      </c>
      <c r="G177" s="15" t="inlineStr">
        <is>
          <t>AC9M10A02</t>
        </is>
      </c>
      <c r="H177" s="15" t="inlineStr">
        <is>
          <t>1,2</t>
        </is>
      </c>
      <c r="I177" s="15" t="inlineStr">
        <is>
          <t>Strict</t>
        </is>
      </c>
      <c r="J177" s="15" t="inlineStr">
        <is>
          <t>Relationships between variables can be described and modelled by linear, quadratic and exponential functions applied in many contexts including financial ones</t>
        </is>
      </c>
      <c r="K177" s="15"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7" s="15" t="inlineStr">
        <is>
          <t>auto-marked</t>
        </is>
      </c>
      <c r="M177" s="15" t="n"/>
      <c r="N177" s="15" t="inlineStr">
        <is>
          <t>Planned</t>
        </is>
      </c>
      <c r="Q177" s="15" t="inlineStr">
        <is>
          <t>Watershed lesson: graphical method is the conceptual anchor for the algebraic methods in y10_alg_07. Builds on Y9 alg_06 (gradient) and alg_15 (slope-intercept form).</t>
        </is>
      </c>
    </row>
    <row r="178" ht="15" customHeight="1" s="16">
      <c r="A178" s="15" t="inlineStr">
        <is>
          <t>y10_alg_07</t>
        </is>
      </c>
      <c r="B178" s="15" t="n">
        <v>10</v>
      </c>
      <c r="C178" s="15" t="inlineStr">
        <is>
          <t>Algebra</t>
        </is>
      </c>
      <c r="D178" s="15" t="n">
        <v>7</v>
      </c>
      <c r="E178" s="15" t="inlineStr">
        <is>
          <t>solving_simultaneous_equations_algebraically</t>
        </is>
      </c>
      <c r="F178" s="15" t="inlineStr">
        <is>
          <t>y10_alg_07_solving_simultaneous_equations_algebraically_v2.html</t>
        </is>
      </c>
      <c r="G178" s="15" t="inlineStr">
        <is>
          <t>AC9M10A02</t>
        </is>
      </c>
      <c r="H178" s="15" t="inlineStr">
        <is>
          <t>2</t>
        </is>
      </c>
      <c r="I178" s="15" t="inlineStr">
        <is>
          <t>Strict</t>
        </is>
      </c>
      <c r="J178" s="15" t="inlineStr">
        <is>
          <t>Relationships between variables can be described and modelled by linear, quadratic and exponential functions applied in many contexts including financial ones</t>
        </is>
      </c>
      <c r="K178" s="15"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8" s="15" t="inlineStr">
        <is>
          <t>auto-marked</t>
        </is>
      </c>
      <c r="M178" s="15" t="inlineStr">
        <is>
          <t>y10_alg_06</t>
        </is>
      </c>
      <c r="N178" s="15" t="inlineStr">
        <is>
          <t>Planned</t>
        </is>
      </c>
      <c r="Q178" s="15" t="inlineStr">
        <is>
          <t>Substitution method extends Y9 equation-solving techniques. Elimination is the new manoeuvre — flag for I Do worked example.</t>
        </is>
      </c>
    </row>
    <row r="179" ht="15" customHeight="1" s="16">
      <c r="A179" s="15" t="inlineStr">
        <is>
          <t>y10_alg_08</t>
        </is>
      </c>
      <c r="B179" s="15" t="n">
        <v>10</v>
      </c>
      <c r="C179" s="15" t="inlineStr">
        <is>
          <t>Algebra</t>
        </is>
      </c>
      <c r="D179" s="15" t="n">
        <v>8</v>
      </c>
      <c r="E179" s="15" t="inlineStr">
        <is>
          <t>modelling_with_simultaneous_equations</t>
        </is>
      </c>
      <c r="F179" s="15" t="inlineStr">
        <is>
          <t>y10_alg_08_modelling_with_simultaneous_equations_v2.html</t>
        </is>
      </c>
      <c r="G179" s="15" t="inlineStr">
        <is>
          <t>AC9M10A02</t>
        </is>
      </c>
      <c r="H179" s="15" t="inlineStr">
        <is>
          <t>1,2,6</t>
        </is>
      </c>
      <c r="I179" s="15" t="inlineStr">
        <is>
          <t>Strict</t>
        </is>
      </c>
      <c r="J179" s="15" t="inlineStr">
        <is>
          <t>Relationships between variables can be described and modelled by linear, quadratic and exponential functions applied in many contexts including financial ones</t>
        </is>
      </c>
      <c r="K179" s="15"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9" s="15" t="inlineStr">
        <is>
          <t>auto-marked + open-ended</t>
        </is>
      </c>
      <c r="M179" s="15" t="inlineStr">
        <is>
          <t>y10_alg_07</t>
        </is>
      </c>
      <c r="N179" s="15" t="inlineStr">
        <is>
          <t>Planned</t>
        </is>
      </c>
      <c r="Q179" s="15" t="inlineStr">
        <is>
          <t>Finance context per house preference. Captures e1 (contextual lin eq), e2 (interpretation), and e6 (First Nations games).</t>
        </is>
      </c>
    </row>
    <row r="180" ht="15" customHeight="1" s="16">
      <c r="A180" s="15" t="inlineStr">
        <is>
          <t>y10_alg_09</t>
        </is>
      </c>
      <c r="B180" s="15" t="n">
        <v>10</v>
      </c>
      <c r="C180" s="15" t="inlineStr">
        <is>
          <t>Algebra</t>
        </is>
      </c>
      <c r="D180" s="15" t="n">
        <v>9</v>
      </c>
      <c r="E180" s="15" t="inlineStr">
        <is>
          <t>graphing_linear_inequalities_in_two_variables</t>
        </is>
      </c>
      <c r="F180" s="15" t="inlineStr">
        <is>
          <t>y10_alg_09_graphing_linear_inequalities_in_two_variables_v2.html</t>
        </is>
      </c>
      <c r="G180" s="15" t="inlineStr">
        <is>
          <t>AC9M10A02</t>
        </is>
      </c>
      <c r="H180" s="15" t="inlineStr">
        <is>
          <t>3,5</t>
        </is>
      </c>
      <c r="I180" s="15" t="inlineStr">
        <is>
          <t>Strict</t>
        </is>
      </c>
      <c r="J180" s="15" t="inlineStr">
        <is>
          <t>Relationships between variables can be described and modelled by linear, quadratic and exponential functions applied in many contexts including financial ones</t>
        </is>
      </c>
      <c r="K180" s="15"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80" s="15" t="inlineStr">
        <is>
          <t>auto-marked</t>
        </is>
      </c>
      <c r="M180" s="15" t="inlineStr">
        <is>
          <t>y10_alg_06</t>
        </is>
      </c>
      <c r="N180" s="15" t="inlineStr">
        <is>
          <t>Planned</t>
        </is>
      </c>
      <c r="Q180" s="15" t="inlineStr">
        <is>
          <t>Builds on Y8 alg_06 (single-variable inequality regions); Y10 extends to two variables and shading conventions.</t>
        </is>
      </c>
    </row>
    <row r="181" ht="15" customHeight="1" s="16">
      <c r="A181" s="15" t="inlineStr">
        <is>
          <t>y10_alg_10</t>
        </is>
      </c>
      <c r="B181" s="15" t="n">
        <v>10</v>
      </c>
      <c r="C181" s="15" t="inlineStr">
        <is>
          <t>Algebra</t>
        </is>
      </c>
      <c r="D181" s="15" t="n">
        <v>10</v>
      </c>
      <c r="E181" s="15" t="inlineStr">
        <is>
          <t>systems_of_inequalities_and_feasible_regions</t>
        </is>
      </c>
      <c r="F181" s="15" t="inlineStr">
        <is>
          <t>y10_alg_10_systems_of_inequalities_and_feasible_regions_v2.html</t>
        </is>
      </c>
      <c r="G181" s="15" t="inlineStr">
        <is>
          <t>AC9M10A02</t>
        </is>
      </c>
      <c r="H181" s="15" t="inlineStr">
        <is>
          <t>4</t>
        </is>
      </c>
      <c r="I181" s="15" t="inlineStr">
        <is>
          <t>Strict</t>
        </is>
      </c>
      <c r="J181" s="15" t="inlineStr">
        <is>
          <t>Relationships between variables can be described and modelled by linear, quadratic and exponential functions applied in many contexts including financial ones</t>
        </is>
      </c>
      <c r="K181" s="15"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1" s="15" t="inlineStr">
        <is>
          <t>auto-marked</t>
        </is>
      </c>
      <c r="M181" s="15" t="inlineStr">
        <is>
          <t>y10_alg_09</t>
        </is>
      </c>
      <c r="N181" s="15" t="inlineStr">
        <is>
          <t>Planned</t>
        </is>
      </c>
      <c r="Q181" s="15" t="inlineStr">
        <is>
          <t>Finance context per house preference. Foundation for later linear programming work in senior years.</t>
        </is>
      </c>
    </row>
    <row r="182" ht="15" customHeight="1" s="16">
      <c r="A182" s="15" t="inlineStr">
        <is>
          <t>y10_alg_11</t>
        </is>
      </c>
      <c r="B182" s="15" t="n">
        <v>10</v>
      </c>
      <c r="C182" s="15" t="inlineStr">
        <is>
          <t>Algebra</t>
        </is>
      </c>
      <c r="D182" s="15" t="n">
        <v>11</v>
      </c>
      <c r="E182" s="15" t="inlineStr">
        <is>
          <t>introducing_exponential_functions</t>
        </is>
      </c>
      <c r="F182" s="15" t="inlineStr">
        <is>
          <t>y10_alg_11_introducing_exponential_functions_v2.html</t>
        </is>
      </c>
      <c r="G182" s="15" t="inlineStr">
        <is>
          <t>AC9M10A03</t>
        </is>
      </c>
      <c r="H182" s="15" t="inlineStr">
        <is>
          <t>1,2</t>
        </is>
      </c>
      <c r="I182" s="15" t="inlineStr">
        <is>
          <t>Strict</t>
        </is>
      </c>
      <c r="J182" s="15" t="inlineStr">
        <is>
          <t>Relationships between variables can be described and modelled by linear, quadratic and exponential functions applied in many contexts including financial ones</t>
        </is>
      </c>
      <c r="K182" s="15"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2" s="15" t="inlineStr">
        <is>
          <t>auto-marked</t>
        </is>
      </c>
      <c r="M182" s="15" t="inlineStr">
        <is>
          <t>y9_alg_17</t>
        </is>
      </c>
      <c r="N182" s="15" t="inlineStr">
        <is>
          <t>Planned</t>
        </is>
      </c>
      <c r="Q182" s="15"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3" ht="15" customHeight="1" s="16">
      <c r="A183" s="15" t="inlineStr">
        <is>
          <t>y10_alg_12</t>
        </is>
      </c>
      <c r="B183" s="15" t="n">
        <v>10</v>
      </c>
      <c r="C183" s="15" t="inlineStr">
        <is>
          <t>Algebra</t>
        </is>
      </c>
      <c r="D183" s="15" t="n">
        <v>12</v>
      </c>
      <c r="E183" s="15" t="inlineStr">
        <is>
          <t>features_of_exponential_graphs</t>
        </is>
      </c>
      <c r="F183" s="15" t="inlineStr">
        <is>
          <t>y10_alg_12_features_of_exponential_graphs_v2.html</t>
        </is>
      </c>
      <c r="G183" s="15" t="inlineStr">
        <is>
          <t>AC9M10A03</t>
        </is>
      </c>
      <c r="H183" s="15" t="inlineStr">
        <is>
          <t>2,3</t>
        </is>
      </c>
      <c r="I183" s="15" t="inlineStr">
        <is>
          <t>Strict</t>
        </is>
      </c>
      <c r="J183" s="15" t="inlineStr">
        <is>
          <t>Relationships between variables can be described and modelled by linear, quadratic and exponential functions applied in many contexts including financial ones</t>
        </is>
      </c>
      <c r="K183" s="15"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3" s="15" t="inlineStr">
        <is>
          <t>auto-marked + open-ended</t>
        </is>
      </c>
      <c r="M183" s="15" t="inlineStr">
        <is>
          <t>y10_alg_11</t>
        </is>
      </c>
      <c r="N183" s="15" t="inlineStr">
        <is>
          <t>Planned</t>
        </is>
      </c>
      <c r="Q183" s="15" t="inlineStr">
        <is>
          <t>Investigation-style — practice can include guided parameter-variation tasks alongside auto-marked feature-identification.</t>
        </is>
      </c>
    </row>
    <row r="184" ht="15" customHeight="1" s="16">
      <c r="A184" s="15" t="inlineStr">
        <is>
          <t>y10_alg_13</t>
        </is>
      </c>
      <c r="B184" s="15" t="n">
        <v>10</v>
      </c>
      <c r="C184" s="15" t="inlineStr">
        <is>
          <t>Algebra</t>
        </is>
      </c>
      <c r="D184" s="15" t="n">
        <v>13</v>
      </c>
      <c r="E184" s="15" t="inlineStr">
        <is>
          <t>solving_exponential_equations</t>
        </is>
      </c>
      <c r="F184" s="15" t="inlineStr">
        <is>
          <t>y10_alg_13_solving_exponential_equations_v2.html</t>
        </is>
      </c>
      <c r="G184" s="15" t="inlineStr">
        <is>
          <t>AC9M10A03</t>
        </is>
      </c>
      <c r="H184" s="15" t="inlineStr">
        <is>
          <t>3,4</t>
        </is>
      </c>
      <c r="I184" s="15" t="inlineStr">
        <is>
          <t>Strict</t>
        </is>
      </c>
      <c r="J184" s="15" t="inlineStr">
        <is>
          <t>Relationships between variables can be described and modelled by linear, quadratic and exponential functions applied in many contexts including financial ones</t>
        </is>
      </c>
      <c r="K184" s="15"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4" s="15" t="inlineStr">
        <is>
          <t>auto-marked</t>
        </is>
      </c>
      <c r="M184" s="15" t="inlineStr">
        <is>
          <t>y10_alg_12</t>
        </is>
      </c>
      <c r="N184" s="15" t="inlineStr">
        <is>
          <t>Planned</t>
        </is>
      </c>
      <c r="Q184" s="15" t="inlineStr">
        <is>
          <t>No formal logarithms (those come in Year 11). Digital-tool solving is the Y10 pathway.</t>
        </is>
      </c>
    </row>
    <row r="185" ht="15" customHeight="1" s="16">
      <c r="A185" s="15" t="inlineStr">
        <is>
          <t>y10_alg_14</t>
        </is>
      </c>
      <c r="B185" s="15" t="n">
        <v>10</v>
      </c>
      <c r="C185" s="15" t="inlineStr">
        <is>
          <t>Algebra</t>
        </is>
      </c>
      <c r="D185" s="15" t="n">
        <v>14</v>
      </c>
      <c r="E185" s="15" t="inlineStr">
        <is>
          <t>choosing_linear_quadratic_or_exponential_models</t>
        </is>
      </c>
      <c r="F185" s="15" t="inlineStr">
        <is>
          <t>y10_alg_14_choosing_linear_quadratic_or_exponential_models_v2.html</t>
        </is>
      </c>
      <c r="G185" s="15" t="inlineStr">
        <is>
          <t>AC9M10A04</t>
        </is>
      </c>
      <c r="H185" s="15" t="inlineStr">
        <is>
          <t>1</t>
        </is>
      </c>
      <c r="I185" s="15" t="inlineStr">
        <is>
          <t>Strict</t>
        </is>
      </c>
      <c r="J185" s="15" t="inlineStr">
        <is>
          <t>Relationships between variables can be described and modelled by linear, quadratic and exponential functions applied in many contexts including financial ones</t>
        </is>
      </c>
      <c r="K185" s="15"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5" s="15" t="inlineStr">
        <is>
          <t>auto-marked + open-ended</t>
        </is>
      </c>
      <c r="M185" s="15" t="inlineStr">
        <is>
          <t>y10_alg_11</t>
        </is>
      </c>
      <c r="N185" s="15" t="inlineStr">
        <is>
          <t>Planned</t>
        </is>
      </c>
      <c r="Q185" t="inlineStr">
        <is>
          <t>Synthesis lesson — pulls together diagnostic skills from Y8 alg_05 (linear), Y9 alg_09 (quadratic) and y10_alg_11 (exponential).</t>
        </is>
      </c>
    </row>
    <row r="186" ht="15" customHeight="1" s="16">
      <c r="A186" s="15" t="inlineStr">
        <is>
          <t>y10_alg_15</t>
        </is>
      </c>
      <c r="B186" s="15" t="n">
        <v>10</v>
      </c>
      <c r="C186" s="15" t="inlineStr">
        <is>
          <t>Algebra</t>
        </is>
      </c>
      <c r="D186" s="15" t="n">
        <v>15</v>
      </c>
      <c r="E186" s="15" t="inlineStr">
        <is>
          <t>exponential_growth_and_decay</t>
        </is>
      </c>
      <c r="F186" s="15" t="inlineStr">
        <is>
          <t>y10_alg_15_exponential_growth_and_decay_v2.html</t>
        </is>
      </c>
      <c r="G186" s="15" t="inlineStr">
        <is>
          <t>AC9M10A04</t>
        </is>
      </c>
      <c r="H186" s="15" t="inlineStr">
        <is>
          <t>2,5</t>
        </is>
      </c>
      <c r="I186" s="15" t="inlineStr">
        <is>
          <t>Strict</t>
        </is>
      </c>
      <c r="J186" s="15" t="inlineStr">
        <is>
          <t>Relationships between variables can be described and modelled by linear, quadratic and exponential functions applied in many contexts including financial ones</t>
        </is>
      </c>
      <c r="K186" s="1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6" s="15" t="inlineStr">
        <is>
          <t>auto-marked + open-ended</t>
        </is>
      </c>
      <c r="M186" s="15" t="inlineStr">
        <is>
          <t>y10_alg_13</t>
        </is>
      </c>
      <c r="N186" s="15" t="inlineStr">
        <is>
          <t>Planned</t>
        </is>
      </c>
      <c r="Q186" s="15" t="n"/>
    </row>
    <row r="187" ht="15" customHeight="1" s="16">
      <c r="A187" s="15" t="inlineStr">
        <is>
          <t>y10_alg_16</t>
        </is>
      </c>
      <c r="B187" s="15" t="n">
        <v>10</v>
      </c>
      <c r="C187" s="15" t="inlineStr">
        <is>
          <t>Algebra</t>
        </is>
      </c>
      <c r="D187" s="15" t="n">
        <v>16</v>
      </c>
      <c r="E187" s="15" t="inlineStr">
        <is>
          <t>compound_interest_modelling</t>
        </is>
      </c>
      <c r="F187" s="15" t="inlineStr">
        <is>
          <t>y10_alg_16_compound_interest_modelling_v2.html</t>
        </is>
      </c>
      <c r="G187" s="15" t="inlineStr">
        <is>
          <t>AC9M10A04</t>
        </is>
      </c>
      <c r="H187" s="15" t="inlineStr">
        <is>
          <t>3</t>
        </is>
      </c>
      <c r="I187" s="15" t="inlineStr">
        <is>
          <t>Strict</t>
        </is>
      </c>
      <c r="J187" s="15" t="inlineStr">
        <is>
          <t>Relationships between variables can be described and modelled by linear, quadratic and exponential functions applied in many contexts including financial ones</t>
        </is>
      </c>
      <c r="K187" s="15"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7" s="15" t="inlineStr">
        <is>
          <t>auto-marked + open-ended</t>
        </is>
      </c>
      <c r="M187" s="15" t="inlineStr">
        <is>
          <t>y10_alg_15</t>
        </is>
      </c>
      <c r="N187" s="15" t="inlineStr">
        <is>
          <t>Planned</t>
        </is>
      </c>
      <c r="Q187" s="15" t="inlineStr">
        <is>
          <t>Watershed lesson and finance flagship for Y10. Connects forward to Y10 num_02 (rounding error compounds at each cycle). Finance context per house preference.</t>
        </is>
      </c>
    </row>
    <row r="188" ht="15" customHeight="1" s="16">
      <c r="A188" s="15" t="inlineStr">
        <is>
          <t>y10_alg_17</t>
        </is>
      </c>
      <c r="B188" s="15" t="n">
        <v>10</v>
      </c>
      <c r="C188" s="15" t="inlineStr">
        <is>
          <t>Algebra</t>
        </is>
      </c>
      <c r="D188" s="15" t="n">
        <v>17</v>
      </c>
      <c r="E188" s="15" t="inlineStr">
        <is>
          <t>carbon_dating_and_applied_decay_modelling</t>
        </is>
      </c>
      <c r="F188" s="15" t="inlineStr">
        <is>
          <t>y10_alg_17_carbon_dating_and_applied_decay_modelling_v2.html</t>
        </is>
      </c>
      <c r="G188" s="15" t="inlineStr">
        <is>
          <t>AC9M10A04</t>
        </is>
      </c>
      <c r="H188" s="15" t="inlineStr">
        <is>
          <t>4,5</t>
        </is>
      </c>
      <c r="I188" s="15" t="inlineStr">
        <is>
          <t>Strict</t>
        </is>
      </c>
      <c r="J188" s="15" t="inlineStr">
        <is>
          <t>Relationships between variables can be described and modelled by linear, quadratic and exponential functions applied in many contexts including financial ones</t>
        </is>
      </c>
      <c r="K188" s="15"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8" s="15" t="inlineStr">
        <is>
          <t>auto-marked + open-ended</t>
        </is>
      </c>
      <c r="M188" s="15" t="inlineStr">
        <is>
          <t>y10_alg_15</t>
        </is>
      </c>
      <c r="N188" s="15" t="inlineStr">
        <is>
          <t>Planned</t>
        </is>
      </c>
      <c r="Q188" s="15" t="inlineStr">
        <is>
          <t>Open-ended modelling lesson — practice mixes calculation with model-critique questions.</t>
        </is>
      </c>
    </row>
    <row r="189" ht="15" customHeight="1" s="16">
      <c r="A189" s="15" t="inlineStr">
        <is>
          <t>y10_alg_18</t>
        </is>
      </c>
      <c r="B189" s="15" t="n">
        <v>10</v>
      </c>
      <c r="C189" s="15" t="inlineStr">
        <is>
          <t>Algebra</t>
        </is>
      </c>
      <c r="D189" s="15" t="n">
        <v>18</v>
      </c>
      <c r="E189" s="15" t="inlineStr">
        <is>
          <t>intersections_of_functions_with_digital_tools</t>
        </is>
      </c>
      <c r="F189" s="15" t="inlineStr">
        <is>
          <t>y10_alg_18_intersections_of_functions_with_digital_tools_v2.html</t>
        </is>
      </c>
      <c r="G189" s="15" t="inlineStr">
        <is>
          <t>AC9M10A05</t>
        </is>
      </c>
      <c r="H189" s="15" t="inlineStr">
        <is>
          <t>1,4</t>
        </is>
      </c>
      <c r="I189" s="15" t="inlineStr">
        <is>
          <t>Strict</t>
        </is>
      </c>
      <c r="J189" s="15" t="inlineStr">
        <is>
          <t>Relationships between variables can be described and modelled by linear, quadratic and exponential functions applied in many contexts including financial ones</t>
        </is>
      </c>
      <c r="K189" s="15"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9" s="15" t="inlineStr">
        <is>
          <t>auto-marked + open-ended</t>
        </is>
      </c>
      <c r="M189" s="15" t="inlineStr">
        <is>
          <t>y10_alg_11</t>
        </is>
      </c>
      <c r="N189" s="15" t="inlineStr">
        <is>
          <t>Planned</t>
        </is>
      </c>
      <c r="Q189" s="15" t="inlineStr">
        <is>
          <t>Investigation lesson — practice can include screenshot-based or table-of-values items for the zoom workflow.</t>
        </is>
      </c>
    </row>
    <row r="190" ht="15" customHeight="1" s="16">
      <c r="A190" s="15" t="inlineStr">
        <is>
          <t>y10_alg_19</t>
        </is>
      </c>
      <c r="B190" s="15" t="n">
        <v>10</v>
      </c>
      <c r="C190" s="15" t="inlineStr">
        <is>
          <t>Algebra</t>
        </is>
      </c>
      <c r="D190" s="15" t="n">
        <v>19</v>
      </c>
      <c r="E190" s="15" t="inlineStr">
        <is>
          <t>circle_equations_and_transformations</t>
        </is>
      </c>
      <c r="F190" s="15" t="inlineStr">
        <is>
          <t>y10_alg_19_circle_equations_and_transformations_v2.html</t>
        </is>
      </c>
      <c r="G190" s="15" t="inlineStr">
        <is>
          <t>AC9M10A05</t>
        </is>
      </c>
      <c r="H190" s="15" t="inlineStr">
        <is>
          <t>3</t>
        </is>
      </c>
      <c r="I190" s="15" t="inlineStr">
        <is>
          <t>Strict</t>
        </is>
      </c>
      <c r="J190" s="15" t="inlineStr">
        <is>
          <t>Relationships between variables can be described and modelled by linear, quadratic and exponential functions applied in many contexts including financial ones</t>
        </is>
      </c>
      <c r="K190" s="15"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90" s="15" t="inlineStr">
        <is>
          <t>auto-marked</t>
        </is>
      </c>
      <c r="M190" s="15" t="inlineStr">
        <is>
          <t>y9_alg_07</t>
        </is>
      </c>
      <c r="N190" s="15" t="inlineStr">
        <is>
          <t>Planned</t>
        </is>
      </c>
      <c r="Q190" s="15" t="inlineStr">
        <is>
          <t>Cross-strand prereq: distance formula from y9_alg_07. First analytic treatment of the circle as a relation in Cartesian form.</t>
        </is>
      </c>
    </row>
    <row r="191" ht="15" customHeight="1" s="16">
      <c r="A191" s="15" t="inlineStr">
        <is>
          <t>y10_alg_20</t>
        </is>
      </c>
      <c r="B191" s="15" t="n">
        <v>10</v>
      </c>
      <c r="C191" s="15" t="inlineStr">
        <is>
          <t>Algebra</t>
        </is>
      </c>
      <c r="D191" s="15" t="n">
        <v>20</v>
      </c>
      <c r="E191" s="15" t="inlineStr">
        <is>
          <t>intervals_and_iterative_methods</t>
        </is>
      </c>
      <c r="F191" s="15" t="inlineStr">
        <is>
          <t>y10_alg_20_intervals_and_iterative_methods_v2.html</t>
        </is>
      </c>
      <c r="G191" s="15" t="inlineStr">
        <is>
          <t>AC9M10A05</t>
        </is>
      </c>
      <c r="H191" s="15" t="inlineStr">
        <is>
          <t>2,5,6</t>
        </is>
      </c>
      <c r="I191" s="15" t="inlineStr">
        <is>
          <t>Strict</t>
        </is>
      </c>
      <c r="J191" s="15" t="inlineStr">
        <is>
          <t>Relationships between variables can be described and modelled by linear, quadratic and exponential functions applied in many contexts including financial ones</t>
        </is>
      </c>
      <c r="K191" s="15"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1" s="15" t="inlineStr">
        <is>
          <t>auto-marked</t>
        </is>
      </c>
      <c r="M191" s="15" t="inlineStr">
        <is>
          <t>y10_alg_04,y10_alg_13</t>
        </is>
      </c>
      <c r="N191" s="15" t="inlineStr">
        <is>
          <t>Planned</t>
        </is>
      </c>
      <c r="Q191" s="15" t="inlineStr">
        <is>
          <t>Bisection is a computational-thinking thread — sets up senior-school numerical methods. Sign-chart skill bridges to y11/y12 inequalities.</t>
        </is>
      </c>
    </row>
    <row r="192" ht="15" customHeight="1" s="16">
      <c r="A192" s="15" t="inlineStr">
        <is>
          <t>y10_mea_01</t>
        </is>
      </c>
      <c r="B192" s="15" t="n">
        <v>10</v>
      </c>
      <c r="C192" s="15" t="inlineStr">
        <is>
          <t>Measurement</t>
        </is>
      </c>
      <c r="D192" s="15" t="n">
        <v>1</v>
      </c>
      <c r="E192" s="15" t="inlineStr">
        <is>
          <t>surface_area_of_composite_solids</t>
        </is>
      </c>
      <c r="F192" s="15" t="inlineStr">
        <is>
          <t>y10_mea_01_surface_area_of_composite_solids_v2.html</t>
        </is>
      </c>
      <c r="G192" s="15" t="inlineStr">
        <is>
          <t>AC9M10M01</t>
        </is>
      </c>
      <c r="H192" s="15" t="inlineStr">
        <is>
          <t>1</t>
        </is>
      </c>
      <c r="I192" s="15" t="inlineStr">
        <is>
          <t>Strict</t>
        </is>
      </c>
      <c r="J192" s="15" t="inlineStr">
        <is>
          <t>Attributes of 1-, 2- and 3-dimensional objects are described and measured in appropriate standardised units</t>
        </is>
      </c>
      <c r="K192" s="15"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2" s="15" t="inlineStr">
        <is>
          <t>auto-marked</t>
        </is>
      </c>
      <c r="M192" s="15" t="inlineStr">
        <is>
          <t>y9_mea_01,y9_mea_02</t>
        </is>
      </c>
      <c r="N192" s="15" t="inlineStr">
        <is>
          <t>Planned</t>
        </is>
      </c>
      <c r="Q192" s="15" t="inlineStr">
        <is>
          <t>Extends Y9 mea_01 (prism SA) and Y9 mea_02 (cylinder SA) to composite solids. Internal-face identification is the threshold skill.</t>
        </is>
      </c>
    </row>
    <row r="193" ht="15" customHeight="1" s="16">
      <c r="A193" s="15" t="inlineStr">
        <is>
          <t>y10_mea_02</t>
        </is>
      </c>
      <c r="B193" s="15" t="n">
        <v>10</v>
      </c>
      <c r="C193" s="15" t="inlineStr">
        <is>
          <t>Measurement</t>
        </is>
      </c>
      <c r="D193" s="15" t="n">
        <v>2</v>
      </c>
      <c r="E193" s="15" t="inlineStr">
        <is>
          <t>volume_of_composite_solids</t>
        </is>
      </c>
      <c r="F193" s="15" t="inlineStr">
        <is>
          <t>y10_mea_02_volume_of_composite_solids_v2.html</t>
        </is>
      </c>
      <c r="G193" s="15" t="inlineStr">
        <is>
          <t>AC9M10M01</t>
        </is>
      </c>
      <c r="H193" s="15" t="inlineStr">
        <is>
          <t>1</t>
        </is>
      </c>
      <c r="I193" s="15" t="inlineStr">
        <is>
          <t>Strict</t>
        </is>
      </c>
      <c r="J193" s="15" t="inlineStr">
        <is>
          <t>Attributes of 1-, 2- and 3-dimensional objects are described and measured in appropriate standardised units</t>
        </is>
      </c>
      <c r="K193" s="15" t="inlineStr">
        <is>
          <t>Calculate the volume of composite solids by decomposing into right prisms and cylinders, summing component volumes; for hollow composites (e.g. pipe sections), subtract the inner volume from the outer; verify with an alternative decomposition.</t>
        </is>
      </c>
      <c r="L193" s="15" t="inlineStr">
        <is>
          <t>auto-marked</t>
        </is>
      </c>
      <c r="M193" s="15" t="inlineStr">
        <is>
          <t>y9_mea_02</t>
        </is>
      </c>
      <c r="N193" s="15" t="inlineStr">
        <is>
          <t>Planned</t>
        </is>
      </c>
      <c r="Q193" s="15" t="inlineStr">
        <is>
          <t>Extends Y8 mea_03 (composite prism V) by adding cylinders to the toolkit.</t>
        </is>
      </c>
    </row>
    <row r="194" ht="15" customHeight="1" s="16">
      <c r="A194" s="15" t="inlineStr">
        <is>
          <t>y10_mea_03</t>
        </is>
      </c>
      <c r="B194" s="15" t="n">
        <v>10</v>
      </c>
      <c r="C194" s="15" t="inlineStr">
        <is>
          <t>Measurement</t>
        </is>
      </c>
      <c r="D194" s="15" t="n">
        <v>3</v>
      </c>
      <c r="E194" s="15" t="inlineStr">
        <is>
          <t>modelling_with_surface_area_and_volume</t>
        </is>
      </c>
      <c r="F194" s="15" t="inlineStr">
        <is>
          <t>y10_mea_03_modelling_with_surface_area_and_volume_v2.html</t>
        </is>
      </c>
      <c r="G194" s="15" t="inlineStr">
        <is>
          <t>AC9M10M01</t>
        </is>
      </c>
      <c r="H194" s="15" t="inlineStr">
        <is>
          <t>2,3</t>
        </is>
      </c>
      <c r="I194" s="15" t="inlineStr">
        <is>
          <t>Strict</t>
        </is>
      </c>
      <c r="J194" s="15" t="inlineStr">
        <is>
          <t>Attributes of 1-, 2- and 3-dimensional objects are described and measured in appropriate standardised units</t>
        </is>
      </c>
      <c r="K194" s="15"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4" s="15" t="inlineStr">
        <is>
          <t>auto-marked + open-ended</t>
        </is>
      </c>
      <c r="M194" s="15" t="inlineStr">
        <is>
          <t>y10_mea_01,y10_mea_02</t>
        </is>
      </c>
      <c r="N194" s="15" t="inlineStr">
        <is>
          <t>Planned</t>
        </is>
      </c>
      <c r="Q194" s="15" t="inlineStr">
        <is>
          <t>Full modelling cycle — formulate, solve, interpret, evaluate. Cross-references y10_num_02 (compounding rounding error in volume calculations).</t>
        </is>
      </c>
    </row>
    <row r="195" ht="15" customHeight="1" s="16">
      <c r="A195" s="15" t="inlineStr">
        <is>
          <t>y10_mea_04</t>
        </is>
      </c>
      <c r="B195" s="15" t="n">
        <v>10</v>
      </c>
      <c r="C195" s="15" t="inlineStr">
        <is>
          <t>Measurement</t>
        </is>
      </c>
      <c r="D195" s="15" t="n">
        <v>4</v>
      </c>
      <c r="E195" s="15" t="inlineStr">
        <is>
          <t>introducing_logarithmic_scales</t>
        </is>
      </c>
      <c r="F195" s="15" t="inlineStr">
        <is>
          <t>y10_mea_04_introducing_logarithmic_scales_v2.html</t>
        </is>
      </c>
      <c r="G195" s="15" t="inlineStr">
        <is>
          <t>AC9M10M02</t>
        </is>
      </c>
      <c r="H195" s="15" t="inlineStr">
        <is>
          <t>1,2</t>
        </is>
      </c>
      <c r="I195" s="15" t="inlineStr">
        <is>
          <t>Strict</t>
        </is>
      </c>
      <c r="J195" s="15" t="inlineStr">
        <is>
          <t>Attributes of 1-, 2- and 3-dimensional objects are described and measured in appropriate standardised units</t>
        </is>
      </c>
      <c r="K195" s="15"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5" s="15" t="inlineStr">
        <is>
          <t>auto-marked</t>
        </is>
      </c>
      <c r="M195" s="15" t="inlineStr">
        <is>
          <t>y9_mea_04</t>
        </is>
      </c>
      <c r="N195" s="15" t="inlineStr">
        <is>
          <t>Planned</t>
        </is>
      </c>
      <c r="Q195" s="15" t="inlineStr">
        <is>
          <t>No Y7-9 precedent — fully new topic flagged by Sam. Builds on y9_mea_04 (scientific notation) for orders-of-magnitude thinking. Conceptual lesson; no formal log algebra (deferred to Y11).</t>
        </is>
      </c>
    </row>
    <row r="196" ht="15" customHeight="1" s="16">
      <c r="A196" s="15" t="inlineStr">
        <is>
          <t>y10_mea_05</t>
        </is>
      </c>
      <c r="B196" s="15" t="n">
        <v>10</v>
      </c>
      <c r="C196" s="15" t="inlineStr">
        <is>
          <t>Measurement</t>
        </is>
      </c>
      <c r="D196" s="15" t="n">
        <v>5</v>
      </c>
      <c r="E196" s="15" t="inlineStr">
        <is>
          <t>applying_logarithmic_scales_in_context</t>
        </is>
      </c>
      <c r="F196" s="15" t="inlineStr">
        <is>
          <t>y10_mea_05_applying_logarithmic_scales_in_context_v2.html</t>
        </is>
      </c>
      <c r="G196" s="15" t="inlineStr">
        <is>
          <t>AC9M10M02</t>
        </is>
      </c>
      <c r="H196" s="15" t="inlineStr">
        <is>
          <t>3,4</t>
        </is>
      </c>
      <c r="I196" s="15" t="inlineStr">
        <is>
          <t>Strict</t>
        </is>
      </c>
      <c r="J196" s="15" t="inlineStr">
        <is>
          <t>Attributes of 1-, 2- and 3-dimensional objects are described and measured in appropriate standardised units</t>
        </is>
      </c>
      <c r="K196" s="1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6" s="15" t="inlineStr">
        <is>
          <t>auto-marked + open-ended</t>
        </is>
      </c>
      <c r="M196" s="15" t="inlineStr">
        <is>
          <t>y10_mea_04</t>
        </is>
      </c>
      <c r="N196" s="15" t="inlineStr">
        <is>
          <t>Planned</t>
        </is>
      </c>
      <c r="Q196" s="15" t="inlineStr">
        <is>
          <t>No Y7-9 precedent. Cultural context is central — Madjedbebe dating directly elaborated in the AC9 text.</t>
        </is>
      </c>
    </row>
    <row r="197" ht="15" customHeight="1" s="16">
      <c r="A197" s="15" t="inlineStr">
        <is>
          <t>y10_mea_06</t>
        </is>
      </c>
      <c r="B197" s="15" t="n">
        <v>10</v>
      </c>
      <c r="C197" s="15" t="inlineStr">
        <is>
          <t>Measurement</t>
        </is>
      </c>
      <c r="D197" s="15" t="n">
        <v>6</v>
      </c>
      <c r="E197" s="15" t="inlineStr">
        <is>
          <t>angles_of_elevation_and_depression</t>
        </is>
      </c>
      <c r="F197" s="15" t="inlineStr">
        <is>
          <t>y10_mea_06_angles_of_elevation_and_depression_v2.html</t>
        </is>
      </c>
      <c r="G197" s="15" t="inlineStr">
        <is>
          <t>AC9M10M03</t>
        </is>
      </c>
      <c r="H197" s="15" t="inlineStr">
        <is>
          <t>3,4</t>
        </is>
      </c>
      <c r="I197" s="15" t="inlineStr">
        <is>
          <t>Strict</t>
        </is>
      </c>
      <c r="J197" s="15" t="inlineStr">
        <is>
          <t>Attributes of 1-, 2- and 3-dimensional objects are described and measured in appropriate standardised units</t>
        </is>
      </c>
      <c r="K197" s="15"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7" s="15" t="inlineStr">
        <is>
          <t>auto-marked</t>
        </is>
      </c>
      <c r="M197" s="15" t="inlineStr">
        <is>
          <t>y9_spa_03</t>
        </is>
      </c>
      <c r="N197" s="15" t="inlineStr">
        <is>
          <t>Planned</t>
        </is>
      </c>
      <c r="Q197" s="15" t="inlineStr">
        <is>
          <t>Cross-strand prereq: y9_spa_03 (sin/cos/tan defined). First formal treatment of elevation/depression angles.</t>
        </is>
      </c>
    </row>
    <row r="198" ht="15" customHeight="1" s="16">
      <c r="A198" s="15" t="inlineStr">
        <is>
          <t>y10_mea_07</t>
        </is>
      </c>
      <c r="B198" s="15" t="n">
        <v>10</v>
      </c>
      <c r="C198" s="15" t="inlineStr">
        <is>
          <t>Measurement</t>
        </is>
      </c>
      <c r="D198" s="15" t="n">
        <v>7</v>
      </c>
      <c r="E198" s="15" t="inlineStr">
        <is>
          <t>bearings_and_navigation</t>
        </is>
      </c>
      <c r="F198" s="15" t="inlineStr">
        <is>
          <t>y10_mea_07_bearings_and_navigation_v2.html</t>
        </is>
      </c>
      <c r="G198" s="15" t="inlineStr">
        <is>
          <t>AC9M10M03</t>
        </is>
      </c>
      <c r="H198" s="15" t="inlineStr">
        <is>
          <t>1,5</t>
        </is>
      </c>
      <c r="I198" s="15" t="inlineStr">
        <is>
          <t>Strict</t>
        </is>
      </c>
      <c r="J198" s="15" t="inlineStr">
        <is>
          <t>Attributes of 1-, 2- and 3-dimensional objects are described and measured in appropriate standardised units</t>
        </is>
      </c>
      <c r="K198" s="15"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8" s="15" t="inlineStr">
        <is>
          <t>auto-marked</t>
        </is>
      </c>
      <c r="M198" s="15" t="inlineStr">
        <is>
          <t>y9_spa_03</t>
        </is>
      </c>
      <c r="N198" s="15" t="inlineStr">
        <is>
          <t>Planned</t>
        </is>
      </c>
      <c r="Q198" s="15" t="inlineStr">
        <is>
          <t>First time bearings are formalised. Decompose multi-leg routes into right triangles for trig application.</t>
        </is>
      </c>
    </row>
    <row r="199" ht="15" customHeight="1" s="16">
      <c r="A199" s="15" t="inlineStr">
        <is>
          <t>y10_mea_08</t>
        </is>
      </c>
      <c r="B199" s="15" t="n">
        <v>10</v>
      </c>
      <c r="C199" s="15" t="inlineStr">
        <is>
          <t>Measurement</t>
        </is>
      </c>
      <c r="D199" s="15" t="n">
        <v>8</v>
      </c>
      <c r="E199" s="15" t="inlineStr">
        <is>
          <t>three_dimensional_pythagoras_and_trig</t>
        </is>
      </c>
      <c r="F199" s="15" t="inlineStr">
        <is>
          <t>y10_mea_08_three_dimensional_pythagoras_and_trig_v2.html</t>
        </is>
      </c>
      <c r="G199" s="15" t="inlineStr">
        <is>
          <t>AC9M10M03</t>
        </is>
      </c>
      <c r="H199" s="15" t="inlineStr">
        <is>
          <t>2,4</t>
        </is>
      </c>
      <c r="I199" s="15" t="inlineStr">
        <is>
          <t>Strict</t>
        </is>
      </c>
      <c r="J199" s="15" t="inlineStr">
        <is>
          <t>Attributes of 1-, 2- and 3-dimensional objects are described and measured in appropriate standardised units</t>
        </is>
      </c>
      <c r="K199" s="15"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9" s="15" t="inlineStr">
        <is>
          <t>auto-marked</t>
        </is>
      </c>
      <c r="M199" s="15" t="inlineStr">
        <is>
          <t>y10_mea_06,y8_mea_12</t>
        </is>
      </c>
      <c r="N199" s="15" t="inlineStr">
        <is>
          <t>Planned</t>
        </is>
      </c>
      <c r="Q199" s="15" t="inlineStr">
        <is>
          <t>Watershed lesson — major synthesis of Pythagoras and trig in three dimensions. The two-step decomposition (find a 2D diagonal, then use it as a side of another right triangle) is the key technique.</t>
        </is>
      </c>
    </row>
    <row r="200" ht="15" customHeight="1" s="16">
      <c r="A200" s="15" t="inlineStr">
        <is>
          <t>y10_mea_09</t>
        </is>
      </c>
      <c r="B200" s="15" t="n">
        <v>10</v>
      </c>
      <c r="C200" s="15" t="inlineStr">
        <is>
          <t>Measurement</t>
        </is>
      </c>
      <c r="D200" s="15" t="n">
        <v>9</v>
      </c>
      <c r="E200" s="15" t="inlineStr">
        <is>
          <t>measurement_errors_in_research_and_instruments</t>
        </is>
      </c>
      <c r="F200" s="15" t="inlineStr">
        <is>
          <t>y10_mea_09_measurement_errors_in_research_and_instruments_v2.html</t>
        </is>
      </c>
      <c r="G200" s="15" t="inlineStr">
        <is>
          <t>AC9M10M04</t>
        </is>
      </c>
      <c r="H200" s="15" t="inlineStr">
        <is>
          <t>1,2</t>
        </is>
      </c>
      <c r="I200" s="15" t="inlineStr">
        <is>
          <t>Strict</t>
        </is>
      </c>
      <c r="J200" s="15" t="inlineStr">
        <is>
          <t>Measurement errors impact the accuracy of results</t>
        </is>
      </c>
      <c r="K200" s="15"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200" s="15" t="inlineStr">
        <is>
          <t>auto-marked</t>
        </is>
      </c>
      <c r="M200" s="15" t="inlineStr">
        <is>
          <t>y9_mea_09</t>
        </is>
      </c>
      <c r="N200" s="15" t="inlineStr">
        <is>
          <t>Planned</t>
        </is>
      </c>
      <c r="Q200" s="15" t="inlineStr">
        <is>
          <t>Extends Y9 mea_09 / mea_10 (absolute/relative/percentage error) into research-design framing. M04 e3 (compounding finance errors) is covered via the cross-tag in y10_num_02.</t>
        </is>
      </c>
    </row>
    <row r="201" ht="15" customHeight="1" s="16">
      <c r="A201" s="15" t="inlineStr">
        <is>
          <t>y10_mea_10</t>
        </is>
      </c>
      <c r="B201" s="15" t="n">
        <v>10</v>
      </c>
      <c r="C201" s="15" t="inlineStr">
        <is>
          <t>Measurement</t>
        </is>
      </c>
      <c r="D201" s="15" t="n">
        <v>10</v>
      </c>
      <c r="E201" s="15" t="inlineStr">
        <is>
          <t>scientific_dating_and_ethical_measurement</t>
        </is>
      </c>
      <c r="F201" s="15" t="inlineStr">
        <is>
          <t>y10_mea_10_scientific_dating_and_ethical_measurement_v2.html</t>
        </is>
      </c>
      <c r="G201" s="15" t="inlineStr">
        <is>
          <t>AC9M10M04</t>
        </is>
      </c>
      <c r="H201" s="15" t="inlineStr">
        <is>
          <t>4</t>
        </is>
      </c>
      <c r="I201" s="15" t="inlineStr">
        <is>
          <t>Strict</t>
        </is>
      </c>
      <c r="J201" s="15" t="inlineStr">
        <is>
          <t>Measurement errors impact the accuracy of results</t>
        </is>
      </c>
      <c r="K201" s="15"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1" s="15" t="inlineStr">
        <is>
          <t>auto-marked + open-ended</t>
        </is>
      </c>
      <c r="M201" s="15" t="inlineStr">
        <is>
          <t>y10_mea_09</t>
        </is>
      </c>
      <c r="N201" s="15" t="inlineStr">
        <is>
          <t>Planned</t>
        </is>
      </c>
      <c r="Q201" s="15" t="inlineStr">
        <is>
          <t>Companion to y10_mea_05 (Madjedbebe context). Open-ended modelling — practice can include analysis-style items alongside numeric error calculations.</t>
        </is>
      </c>
    </row>
    <row r="202" ht="15" customHeight="1" s="16">
      <c r="A202" s="15" t="inlineStr">
        <is>
          <t>y10_mea_11</t>
        </is>
      </c>
      <c r="B202" s="15" t="n">
        <v>10</v>
      </c>
      <c r="C202" s="15" t="inlineStr">
        <is>
          <t>Measurement</t>
        </is>
      </c>
      <c r="D202" s="15" t="n">
        <v>11</v>
      </c>
      <c r="E202" s="15" t="inlineStr">
        <is>
          <t>modelling_with_scale_drawings_and_plans</t>
        </is>
      </c>
      <c r="F202" s="15" t="inlineStr">
        <is>
          <t>y10_mea_11_modelling_with_scale_drawings_and_plans_v2.html</t>
        </is>
      </c>
      <c r="G202" s="15" t="inlineStr">
        <is>
          <t>AC9M10M05</t>
        </is>
      </c>
      <c r="H202" s="15" t="inlineStr">
        <is>
          <t>1,3</t>
        </is>
      </c>
      <c r="I202" s="15" t="inlineStr">
        <is>
          <t>Strict</t>
        </is>
      </c>
      <c r="J202" s="15" t="inlineStr">
        <is>
          <t>Attributes of 1-, 2- and 3-dimensional objects are described and measured in appropriate standardised units</t>
        </is>
      </c>
      <c r="K202" s="15"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2" s="15" t="inlineStr">
        <is>
          <t>auto-marked + open-ended</t>
        </is>
      </c>
      <c r="M202" s="15" t="inlineStr">
        <is>
          <t>y8_mea_14</t>
        </is>
      </c>
      <c r="N202" s="15" t="inlineStr">
        <is>
          <t>Planned</t>
        </is>
      </c>
      <c r="Q202" s="15" t="inlineStr">
        <is>
          <t>Builds on Y8 mea_14 (scale and proportion in design). Y10 emphasis on full modelling cycle — formulate, interpret, evaluate, modify.</t>
        </is>
      </c>
    </row>
    <row r="203" ht="15" customHeight="1" s="16">
      <c r="A203" s="15" t="inlineStr">
        <is>
          <t>y10_mea_12</t>
        </is>
      </c>
      <c r="B203" s="15" t="n">
        <v>10</v>
      </c>
      <c r="C203" s="15" t="inlineStr">
        <is>
          <t>Measurement</t>
        </is>
      </c>
      <c r="D203" s="15" t="n">
        <v>12</v>
      </c>
      <c r="E203" s="15" t="inlineStr">
        <is>
          <t>modelling_with_3d_scaling_and_compliance</t>
        </is>
      </c>
      <c r="F203" s="15" t="inlineStr">
        <is>
          <t>y10_mea_12_modelling_with_3d_scaling_and_compliance_v2.html</t>
        </is>
      </c>
      <c r="G203" s="15" t="inlineStr">
        <is>
          <t>AC9M10M05</t>
        </is>
      </c>
      <c r="H203" s="15" t="inlineStr">
        <is>
          <t>2,4</t>
        </is>
      </c>
      <c r="I203" s="15" t="inlineStr">
        <is>
          <t>Strict</t>
        </is>
      </c>
      <c r="J203" s="15" t="inlineStr">
        <is>
          <t>Attributes of 1-, 2- and 3-dimensional objects are described and measured in appropriate standardised units</t>
        </is>
      </c>
      <c r="K203" s="15"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3" s="15" t="inlineStr">
        <is>
          <t>auto-marked + open-ended</t>
        </is>
      </c>
      <c r="M203" s="15" t="inlineStr">
        <is>
          <t>y10_mea_11</t>
        </is>
      </c>
      <c r="N203" s="15" t="inlineStr">
        <is>
          <t>Planned</t>
        </is>
      </c>
      <c r="Q203" s="15" t="inlineStr">
        <is>
          <t>Compliance context is the new addition — applies scale-factor effects on area and volume (Y9 spa_05 / mea_07) to safety regulations.</t>
        </is>
      </c>
    </row>
    <row r="204" ht="15" customHeight="1" s="16">
      <c r="A204" s="15" t="inlineStr">
        <is>
          <t>y10_spa_01</t>
        </is>
      </c>
      <c r="B204" s="15" t="n">
        <v>10</v>
      </c>
      <c r="C204" s="15" t="inlineStr">
        <is>
          <t>Space</t>
        </is>
      </c>
      <c r="D204" s="15" t="n">
        <v>1</v>
      </c>
      <c r="E204" s="15" t="inlineStr">
        <is>
          <t>demonstration_versus_proof</t>
        </is>
      </c>
      <c r="F204" s="15" t="inlineStr">
        <is>
          <t>y10_spa_01_demonstration_versus_proof_v2.html</t>
        </is>
      </c>
      <c r="G204" s="15" t="inlineStr">
        <is>
          <t>AC9M10SP01</t>
        </is>
      </c>
      <c r="H204" s="15" t="inlineStr">
        <is>
          <t>1</t>
        </is>
      </c>
      <c r="I204" s="15" t="inlineStr">
        <is>
          <t>Strict</t>
        </is>
      </c>
      <c r="J204" s="15" t="inlineStr">
        <is>
          <t>Situations involving angles, distance and direction can be quantified using geometric properties and theorems</t>
        </is>
      </c>
      <c r="K204" s="15"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4" s="15" t="inlineStr">
        <is>
          <t>auto-marked</t>
        </is>
      </c>
      <c r="M204" s="15" t="inlineStr">
        <is>
          <t>y8_spa_04</t>
        </is>
      </c>
      <c r="N204" s="15" t="inlineStr">
        <is>
          <t>Planned</t>
        </is>
      </c>
      <c r="Q204" s="15" t="inlineStr">
        <is>
          <t>Watershed lesson — what makes a proof? The shift from 'I can show it works for this triangle' to 'I have established it for all such triangles' is the threshold concept.</t>
        </is>
      </c>
    </row>
    <row r="205" ht="15" customHeight="1" s="16">
      <c r="A205" s="15" t="inlineStr">
        <is>
          <t>y10_spa_02</t>
        </is>
      </c>
      <c r="B205" s="15" t="n">
        <v>10</v>
      </c>
      <c r="C205" s="15" t="inlineStr">
        <is>
          <t>Space</t>
        </is>
      </c>
      <c r="D205" s="15" t="n">
        <v>2</v>
      </c>
      <c r="E205" s="15" t="inlineStr">
        <is>
          <t>proofs_using_triangle_congruence</t>
        </is>
      </c>
      <c r="F205" s="15" t="inlineStr">
        <is>
          <t>y10_spa_02_proofs_using_triangle_congruence_v2.html</t>
        </is>
      </c>
      <c r="G205" s="15" t="inlineStr">
        <is>
          <t>AC9M10SP01</t>
        </is>
      </c>
      <c r="H205" s="15" t="inlineStr">
        <is>
          <t>2</t>
        </is>
      </c>
      <c r="I205" s="15" t="inlineStr">
        <is>
          <t>Strict</t>
        </is>
      </c>
      <c r="J205" s="15" t="inlineStr">
        <is>
          <t>Situations involving angles, distance and direction can be quantified using geometric properties and theorems</t>
        </is>
      </c>
      <c r="K205" s="15"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5" s="15" t="inlineStr">
        <is>
          <t>auto-marked</t>
        </is>
      </c>
      <c r="M205" s="15" t="inlineStr">
        <is>
          <t>y10_spa_01,y8_spa_02</t>
        </is>
      </c>
      <c r="N205" s="15" t="inlineStr">
        <is>
          <t>Planned</t>
        </is>
      </c>
      <c r="Q205" s="15" t="inlineStr">
        <is>
          <t>Cross-strand prereq: Y8 spa_02 (congruence tests). Builds on Y8 spa_04 (deductive properties of quadrilaterals).</t>
        </is>
      </c>
    </row>
    <row r="206" ht="15" customHeight="1" s="16">
      <c r="A206" s="15" t="inlineStr">
        <is>
          <t>y10_spa_03</t>
        </is>
      </c>
      <c r="B206" s="15" t="n">
        <v>10</v>
      </c>
      <c r="C206" s="15" t="inlineStr">
        <is>
          <t>Space</t>
        </is>
      </c>
      <c r="D206" s="15" t="n">
        <v>3</v>
      </c>
      <c r="E206" s="15" t="inlineStr">
        <is>
          <t>deducing_properties_via_similarity_and_theorems</t>
        </is>
      </c>
      <c r="F206" s="15" t="inlineStr">
        <is>
          <t>y10_spa_03_deducing_properties_via_similarity_and_theorems_v2.html</t>
        </is>
      </c>
      <c r="G206" s="15" t="inlineStr">
        <is>
          <t>AC9M10SP01</t>
        </is>
      </c>
      <c r="H206" s="15" t="inlineStr">
        <is>
          <t>3,4,5</t>
        </is>
      </c>
      <c r="I206" s="15" t="inlineStr">
        <is>
          <t>Strict</t>
        </is>
      </c>
      <c r="J206" s="15" t="inlineStr">
        <is>
          <t>Situations involving angles, distance and direction can be quantified using geometric properties and theorems</t>
        </is>
      </c>
      <c r="K206" s="1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6" s="15" t="inlineStr">
        <is>
          <t>auto-marked + open-ended</t>
        </is>
      </c>
      <c r="M206" t="inlineStr">
        <is>
          <t>y10_spa_02,y8_spa_03</t>
        </is>
      </c>
      <c r="N206" s="15" t="inlineStr">
        <is>
          <t>Planned</t>
        </is>
      </c>
      <c r="Q206" s="15" t="inlineStr">
        <is>
          <t>Investigation lesson — practice includes both proof completion and conjecture-with-dynamic-geometry items.</t>
        </is>
      </c>
    </row>
    <row r="207" ht="15" customHeight="1" s="16">
      <c r="A207" s="15" t="inlineStr">
        <is>
          <t>y10_spa_04</t>
        </is>
      </c>
      <c r="B207" s="15" t="n">
        <v>10</v>
      </c>
      <c r="C207" s="15" t="inlineStr">
        <is>
          <t>Space</t>
        </is>
      </c>
      <c r="D207" s="15" t="n">
        <v>4</v>
      </c>
      <c r="E207" s="15" t="inlineStr">
        <is>
          <t>introducing_networks_and_connectedness</t>
        </is>
      </c>
      <c r="F207" s="15" t="inlineStr">
        <is>
          <t>y10_spa_04_introducing_networks_and_connectedness_v2.html</t>
        </is>
      </c>
      <c r="G207" s="15" t="inlineStr">
        <is>
          <t>AC9M10SP02</t>
        </is>
      </c>
      <c r="H207" s="15" t="inlineStr">
        <is>
          <t>1,2</t>
        </is>
      </c>
      <c r="I207" s="15" t="inlineStr">
        <is>
          <t>Strict</t>
        </is>
      </c>
      <c r="J207" s="15" t="inlineStr">
        <is>
          <t>Situations involving angles, distance and direction can be quantified using geometric properties and theorems</t>
        </is>
      </c>
      <c r="K207" s="15"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7" s="15" t="inlineStr">
        <is>
          <t>auto-marked</t>
        </is>
      </c>
      <c r="M207" s="15" t="n"/>
      <c r="N207" s="15" t="inlineStr">
        <is>
          <t>Planned</t>
        </is>
      </c>
      <c r="Q207" s="15" t="inlineStr">
        <is>
          <t>Watershed lesson — no Y7-9 precedent (Sam-flagged). Graph theory is genuinely new territory. Königsberg is the classical entry point.</t>
        </is>
      </c>
    </row>
    <row r="208" ht="15" customHeight="1" s="16">
      <c r="A208" s="15" t="inlineStr">
        <is>
          <t>y10_spa_05</t>
        </is>
      </c>
      <c r="B208" s="15" t="n">
        <v>10</v>
      </c>
      <c r="C208" s="15" t="inlineStr">
        <is>
          <t>Space</t>
        </is>
      </c>
      <c r="D208" s="15" t="n">
        <v>5</v>
      </c>
      <c r="E208" s="15" t="inlineStr">
        <is>
          <t>polyhedra_and_eulers_formula</t>
        </is>
      </c>
      <c r="F208" s="15" t="inlineStr">
        <is>
          <t>y10_spa_05_polyhedra_and_eulers_formula_v2.html</t>
        </is>
      </c>
      <c r="G208" s="15" t="inlineStr">
        <is>
          <t>AC9M10SP02</t>
        </is>
      </c>
      <c r="H208" s="15" t="inlineStr">
        <is>
          <t>3</t>
        </is>
      </c>
      <c r="I208" s="15" t="inlineStr">
        <is>
          <t>Strict</t>
        </is>
      </c>
      <c r="J208" s="15" t="inlineStr">
        <is>
          <t>Situations involving angles, distance and direction can be quantified using geometric properties and theorems</t>
        </is>
      </c>
      <c r="K208" s="15"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8" s="15" t="inlineStr">
        <is>
          <t>auto-marked</t>
        </is>
      </c>
      <c r="M208" s="15" t="inlineStr">
        <is>
          <t>y10_spa_04</t>
        </is>
      </c>
      <c r="N208" s="15" t="inlineStr">
        <is>
          <t>Planned</t>
        </is>
      </c>
      <c r="Q208" s="15" t="inlineStr">
        <is>
          <t>Cross-strand link: Y7 spa_01 (nets of prisms and pyramids) provides familiarity with the solids. Euler's formula is a famous result — flag for I Do narrative.</t>
        </is>
      </c>
    </row>
    <row r="209" ht="15" customHeight="1" s="16">
      <c r="A209" s="15" t="inlineStr">
        <is>
          <t>y10_spa_06</t>
        </is>
      </c>
      <c r="B209" s="15" t="n">
        <v>10</v>
      </c>
      <c r="C209" s="15" t="inlineStr">
        <is>
          <t>Space</t>
        </is>
      </c>
      <c r="D209" s="15" t="n">
        <v>6</v>
      </c>
      <c r="E209" s="15" t="inlineStr">
        <is>
          <t>modelling_with_networks</t>
        </is>
      </c>
      <c r="F209" s="15" t="inlineStr">
        <is>
          <t>y10_spa_06_modelling_with_networks_v2.html</t>
        </is>
      </c>
      <c r="G209" s="15" t="inlineStr">
        <is>
          <t>AC9M10SP02</t>
        </is>
      </c>
      <c r="H209" s="15" t="inlineStr">
        <is>
          <t>4,5,6</t>
        </is>
      </c>
      <c r="I209" s="15" t="inlineStr">
        <is>
          <t>Strict</t>
        </is>
      </c>
      <c r="J209" s="15" t="inlineStr">
        <is>
          <t>Situations involving angles, distance and direction can be quantified using geometric properties and theorems</t>
        </is>
      </c>
      <c r="K209" s="15"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9" s="15" t="inlineStr">
        <is>
          <t>matching</t>
        </is>
      </c>
      <c r="M209" s="15" t="inlineStr">
        <is>
          <t>y10_spa_04</t>
        </is>
      </c>
      <c r="N209" s="15" t="inlineStr">
        <is>
          <t>Planned</t>
        </is>
      </c>
      <c r="Q209" s="15" t="inlineStr">
        <is>
          <t>Matching practice — pair context with appropriate network type or feature.</t>
        </is>
      </c>
    </row>
    <row r="210" ht="15" customHeight="1" s="16">
      <c r="A210" s="15" t="inlineStr">
        <is>
          <t>y10_spa_07</t>
        </is>
      </c>
      <c r="B210" s="15" t="n">
        <v>10</v>
      </c>
      <c r="C210" s="15" t="inlineStr">
        <is>
          <t>Space</t>
        </is>
      </c>
      <c r="D210" s="15" t="n">
        <v>7</v>
      </c>
      <c r="E210" s="15" t="inlineStr">
        <is>
          <t>algorithms_for_network_problems</t>
        </is>
      </c>
      <c r="F210" s="15" t="inlineStr">
        <is>
          <t>y10_spa_07_algorithms_for_network_problems_v2.html</t>
        </is>
      </c>
      <c r="G210" s="15" t="inlineStr">
        <is>
          <t>AC9M10SP03</t>
        </is>
      </c>
      <c r="H210" s="15" t="inlineStr">
        <is>
          <t>2</t>
        </is>
      </c>
      <c r="I210" s="15" t="inlineStr">
        <is>
          <t>Strict</t>
        </is>
      </c>
      <c r="J210" s="15" t="inlineStr">
        <is>
          <t>Situations involving angles, distance and direction can be quantified using geometric properties and theorems</t>
        </is>
      </c>
      <c r="K210" s="15"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10" s="15" t="inlineStr">
        <is>
          <t>strategy-MCQ</t>
        </is>
      </c>
      <c r="M210" s="15" t="inlineStr">
        <is>
          <t>y10_spa_04</t>
        </is>
      </c>
      <c r="N210" s="15" t="inlineStr">
        <is>
          <t>Planned</t>
        </is>
      </c>
      <c r="Q210" s="15" t="inlineStr">
        <is>
          <t>Strategy-MCQ matches the decision-tree algorithmic content, mirroring y7_spa_07, y8_spa_07, y9_spa_06/07.</t>
        </is>
      </c>
    </row>
    <row r="211" ht="15" customHeight="1" s="16">
      <c r="A211" s="15" t="inlineStr">
        <is>
          <t>y10_spa_08</t>
        </is>
      </c>
      <c r="B211" s="15" t="n">
        <v>10</v>
      </c>
      <c r="C211" s="15" t="inlineStr">
        <is>
          <t>Space</t>
        </is>
      </c>
      <c r="D211" s="15" t="n">
        <v>8</v>
      </c>
      <c r="E211" s="15" t="inlineStr">
        <is>
          <t>algorithms_for_spatial_design</t>
        </is>
      </c>
      <c r="F211" s="15" t="inlineStr">
        <is>
          <t>y10_spa_08_algorithms_for_spatial_design_v2.html</t>
        </is>
      </c>
      <c r="G211" s="15" t="inlineStr">
        <is>
          <t>AC9M10SP03</t>
        </is>
      </c>
      <c r="H211" s="15" t="inlineStr">
        <is>
          <t>1,3,4,5</t>
        </is>
      </c>
      <c r="I211" s="15" t="inlineStr">
        <is>
          <t>Strict</t>
        </is>
      </c>
      <c r="J211" s="15" t="inlineStr">
        <is>
          <t>Situations involving angles, distance and direction can be quantified using geometric properties and theorems</t>
        </is>
      </c>
      <c r="K211" s="15"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1" s="15" t="inlineStr">
        <is>
          <t>strategy-MCQ</t>
        </is>
      </c>
      <c r="M211" s="15" t="inlineStr">
        <is>
          <t>y10_spa_07</t>
        </is>
      </c>
      <c r="N211" s="15" t="inlineStr">
        <is>
          <t>Planned</t>
        </is>
      </c>
      <c r="Q211" s="15" t="inlineStr">
        <is>
          <t>Strategy-MCQ for the algorithm-choice content. Broad capstone — covers four elaborations spanning 3D modelling, floor planning, fractal generation and First Nations geospatial techniques.</t>
        </is>
      </c>
    </row>
    <row r="212" ht="15" customHeight="1" s="16">
      <c r="A212" s="15" t="inlineStr">
        <is>
          <t>y10_sta_01</t>
        </is>
      </c>
      <c r="B212" s="15" t="n">
        <v>10</v>
      </c>
      <c r="C212" s="15" t="inlineStr">
        <is>
          <t>Statistics</t>
        </is>
      </c>
      <c r="D212" s="15" t="n">
        <v>1</v>
      </c>
      <c r="E212" s="15" t="inlineStr">
        <is>
          <t>analysing_statistical_claims_in_media</t>
        </is>
      </c>
      <c r="F212" s="15" t="inlineStr">
        <is>
          <t>y10_sta_01_analysing_statistical_claims_in_media_v2.html</t>
        </is>
      </c>
      <c r="G212" s="15" t="inlineStr">
        <is>
          <t>AC9M10ST01</t>
        </is>
      </c>
      <c r="H212" s="15" t="inlineStr">
        <is>
          <t>1,2</t>
        </is>
      </c>
      <c r="I212" s="15" t="inlineStr">
        <is>
          <t>Strict</t>
        </is>
      </c>
      <c r="J212" s="15" t="inlineStr">
        <is>
          <t>Claims and inferences based on data should acknowledge ethical considerations and potential sources of bias</t>
        </is>
      </c>
      <c r="K212" s="15"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2" s="15" t="inlineStr">
        <is>
          <t>strategy-MCQ</t>
        </is>
      </c>
      <c r="M212" s="15" t="inlineStr">
        <is>
          <t>y9_sta_01</t>
        </is>
      </c>
      <c r="N212" s="15" t="inlineStr">
        <is>
          <t>Planned</t>
        </is>
      </c>
      <c r="Q212" s="15" t="inlineStr">
        <is>
          <t>Strategy-MCQ suits 'is this claim supported?' question type. Extends Y9 sta_01 (analysing statistical reports) with the Y10 ethical/misleading-representation focus.</t>
        </is>
      </c>
    </row>
    <row r="213" ht="15" customHeight="1" s="16">
      <c r="A213" s="15" t="inlineStr">
        <is>
          <t>y10_sta_02</t>
        </is>
      </c>
      <c r="B213" s="15" t="n">
        <v>10</v>
      </c>
      <c r="C213" s="15" t="inlineStr">
        <is>
          <t>Statistics</t>
        </is>
      </c>
      <c r="D213" s="15" t="n">
        <v>2</v>
      </c>
      <c r="E213" s="15" t="inlineStr">
        <is>
          <t>ethical_considerations_and_indigenous_data_sovereignty</t>
        </is>
      </c>
      <c r="F213" s="15" t="inlineStr">
        <is>
          <t>y10_sta_02_ethical_considerations_and_indigenous_data_sovereignty_v2.html</t>
        </is>
      </c>
      <c r="G213" s="15" t="inlineStr">
        <is>
          <t>AC9M10ST01</t>
        </is>
      </c>
      <c r="H213" s="15" t="inlineStr">
        <is>
          <t>3,4,5</t>
        </is>
      </c>
      <c r="I213" s="15" t="inlineStr">
        <is>
          <t>Strict</t>
        </is>
      </c>
      <c r="J213" s="15" t="inlineStr">
        <is>
          <t>Claims and inferences based on data should acknowledge ethical considerations and potential sources of bias</t>
        </is>
      </c>
      <c r="K213" s="15"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3" s="15" t="inlineStr">
        <is>
          <t>auto-marked + open-ended</t>
        </is>
      </c>
      <c r="M213" s="15" t="inlineStr">
        <is>
          <t>y10_sta_01</t>
        </is>
      </c>
      <c r="N213" s="15" t="inlineStr">
        <is>
          <t>Planned</t>
        </is>
      </c>
      <c r="Q213" s="15" t="inlineStr">
        <is>
          <t>Open-ended modelling — the Indigenous Data Sovereignty content invites discussion responses alongside numeric work.</t>
        </is>
      </c>
    </row>
    <row r="214" ht="15" customHeight="1" s="16">
      <c r="A214" s="15" t="inlineStr">
        <is>
          <t>y10_sta_03</t>
        </is>
      </c>
      <c r="B214" s="15" t="n">
        <v>10</v>
      </c>
      <c r="C214" s="15" t="inlineStr">
        <is>
          <t>Statistics</t>
        </is>
      </c>
      <c r="D214" s="15" t="n">
        <v>3</v>
      </c>
      <c r="E214" s="15" t="inlineStr">
        <is>
          <t>five_number_summary_and_box_plots</t>
        </is>
      </c>
      <c r="F214" s="15" t="inlineStr">
        <is>
          <t>y10_sta_03_five_number_summary_and_box_plots_v2.html</t>
        </is>
      </c>
      <c r="G214" s="15" t="inlineStr">
        <is>
          <t>AC9M10ST02</t>
        </is>
      </c>
      <c r="H214" s="15" t="inlineStr">
        <is>
          <t>1,4</t>
        </is>
      </c>
      <c r="I214" s="15" t="inlineStr">
        <is>
          <t>Strict</t>
        </is>
      </c>
      <c r="J214" s="15" t="inlineStr">
        <is>
          <t>Data can be represented in different ways to establish relationships, while considering accuracy and bias</t>
        </is>
      </c>
      <c r="K214" s="15"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4" s="15" t="inlineStr">
        <is>
          <t>auto-marked</t>
        </is>
      </c>
      <c r="M214" s="15" t="inlineStr">
        <is>
          <t>y7_sta_01,y8_sta_03</t>
        </is>
      </c>
      <c r="N214" s="15" t="inlineStr">
        <is>
          <t>Planned</t>
        </is>
      </c>
      <c r="Q214" s="15" t="inlineStr">
        <is>
          <t>Watershed lesson — no Y7-9 precedent for box plots. Cross-strand prereqs: Y7 sta_01 (median, mode, range) and Y8 sta_03 (sampling methods).</t>
        </is>
      </c>
    </row>
    <row r="215" ht="15" customHeight="1" s="16">
      <c r="A215" s="15" t="inlineStr">
        <is>
          <t>y10_sta_04</t>
        </is>
      </c>
      <c r="B215" s="15" t="n">
        <v>10</v>
      </c>
      <c r="C215" s="15" t="inlineStr">
        <is>
          <t>Statistics</t>
        </is>
      </c>
      <c r="D215" s="15" t="n">
        <v>4</v>
      </c>
      <c r="E215" s="15" t="inlineStr">
        <is>
          <t>comparing_distributions_with_box_plots</t>
        </is>
      </c>
      <c r="F215" s="15" t="inlineStr">
        <is>
          <t>y10_sta_04_comparing_distributions_with_box_plots_v2.html</t>
        </is>
      </c>
      <c r="G215" s="15" t="inlineStr">
        <is>
          <t>AC9M10ST02</t>
        </is>
      </c>
      <c r="H215" s="15" t="inlineStr">
        <is>
          <t>2,3,5</t>
        </is>
      </c>
      <c r="I215" s="15" t="inlineStr">
        <is>
          <t>Strict</t>
        </is>
      </c>
      <c r="J215" s="15" t="inlineStr">
        <is>
          <t>Data can be represented in different ways to establish relationships, while considering accuracy and bias</t>
        </is>
      </c>
      <c r="K215" s="15"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5" s="15" t="inlineStr">
        <is>
          <t>auto-marked</t>
        </is>
      </c>
      <c r="M215" s="15" t="inlineStr">
        <is>
          <t>y10_sta_03</t>
        </is>
      </c>
      <c r="N215" s="15" t="inlineStr">
        <is>
          <t>Planned</t>
        </is>
      </c>
      <c r="Q215" s="15" t="inlineStr">
        <is>
          <t>Builds directly on y10_sta_03 — the comparison skill is the practical pay-off of box plot fluency.</t>
        </is>
      </c>
    </row>
    <row r="216" ht="15" customHeight="1" s="16">
      <c r="A216" s="15" t="inlineStr">
        <is>
          <t>y10_sta_05</t>
        </is>
      </c>
      <c r="B216" s="15" t="n">
        <v>10</v>
      </c>
      <c r="C216" s="15" t="inlineStr">
        <is>
          <t>Statistics</t>
        </is>
      </c>
      <c r="D216" s="15" t="n">
        <v>5</v>
      </c>
      <c r="E216" s="15" t="inlineStr">
        <is>
          <t>constructing_and_interpreting_scatterplots</t>
        </is>
      </c>
      <c r="F216" s="15" t="inlineStr">
        <is>
          <t>y10_sta_05_constructing_and_interpreting_scatterplots_v2.html</t>
        </is>
      </c>
      <c r="G216" s="15" t="inlineStr">
        <is>
          <t>AC9M10ST03</t>
        </is>
      </c>
      <c r="H216" s="15" t="inlineStr">
        <is>
          <t>1,4</t>
        </is>
      </c>
      <c r="I216" s="15" t="inlineStr">
        <is>
          <t>Strict</t>
        </is>
      </c>
      <c r="J216" s="15" t="inlineStr">
        <is>
          <t>Data can be represented in different ways to establish relationships, while considering accuracy and bias</t>
        </is>
      </c>
      <c r="K216" s="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6" s="15" t="inlineStr">
        <is>
          <t>auto-marked</t>
        </is>
      </c>
      <c r="M216" s="15" t="inlineStr">
        <is>
          <t>y7_alg_09</t>
        </is>
      </c>
      <c r="N216" s="15" t="inlineStr">
        <is>
          <t>Planned</t>
        </is>
      </c>
      <c r="Q216" s="15" t="inlineStr">
        <is>
          <t>Watershed lesson — no Y7-9 precedent for bivariate data. Cross-strand prereq: Y7 alg_09 (Cartesian plotting).</t>
        </is>
      </c>
    </row>
    <row r="217" ht="15" customHeight="1" s="16">
      <c r="A217" s="15" t="inlineStr">
        <is>
          <t>y10_sta_06</t>
        </is>
      </c>
      <c r="B217" s="15" t="n">
        <v>10</v>
      </c>
      <c r="C217" s="15" t="inlineStr">
        <is>
          <t>Statistics</t>
        </is>
      </c>
      <c r="D217" s="15" t="n">
        <v>6</v>
      </c>
      <c r="E217" s="15" t="inlineStr">
        <is>
          <t>line_of_best_fit_and_association_versus_causation</t>
        </is>
      </c>
      <c r="F217" s="15" t="inlineStr">
        <is>
          <t>y10_sta_06_line_of_best_fit_and_association_versus_causation_v2.html</t>
        </is>
      </c>
      <c r="G217" s="15" t="inlineStr">
        <is>
          <t>AC9M10ST03</t>
        </is>
      </c>
      <c r="H217" s="15" t="inlineStr">
        <is>
          <t>2,3</t>
        </is>
      </c>
      <c r="I217" s="15" t="inlineStr">
        <is>
          <t>Strict</t>
        </is>
      </c>
      <c r="J217" s="15" t="inlineStr">
        <is>
          <t>Data can be represented in different ways to establish relationships, while considering accuracy and bias</t>
        </is>
      </c>
      <c r="K217" s="15"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7" s="15" t="inlineStr">
        <is>
          <t>auto-marked + open-ended</t>
        </is>
      </c>
      <c r="M217" s="15" t="inlineStr">
        <is>
          <t>y10_sta_05</t>
        </is>
      </c>
      <c r="N217" s="15" t="inlineStr">
        <is>
          <t>Planned</t>
        </is>
      </c>
      <c r="Q217" s="15" t="inlineStr">
        <is>
          <t>Association-vs-causation discussion benefits from open-ended responses alongside the auto-marked line-fitting work.</t>
        </is>
      </c>
    </row>
    <row r="218" ht="15" customHeight="1" s="16">
      <c r="A218" s="15" t="inlineStr">
        <is>
          <t>y10_sta_07</t>
        </is>
      </c>
      <c r="B218" s="15" t="n">
        <v>10</v>
      </c>
      <c r="C218" s="15" t="inlineStr">
        <is>
          <t>Statistics</t>
        </is>
      </c>
      <c r="D218" s="15" t="n">
        <v>7</v>
      </c>
      <c r="E218" s="15" t="inlineStr">
        <is>
          <t>two_way_tables_for_categorical_relationships</t>
        </is>
      </c>
      <c r="F218" s="15" t="inlineStr">
        <is>
          <t>y10_sta_07_two_way_tables_for_categorical_relationships_v2.html</t>
        </is>
      </c>
      <c r="G218" s="15" t="inlineStr">
        <is>
          <t>AC9M10ST04</t>
        </is>
      </c>
      <c r="H218" s="15" t="inlineStr">
        <is>
          <t>1,2,3</t>
        </is>
      </c>
      <c r="I218" s="15" t="inlineStr">
        <is>
          <t>Strict</t>
        </is>
      </c>
      <c r="J218" s="15" t="inlineStr">
        <is>
          <t>Data can be represented in different ways to establish relationships, while considering accuracy and bias</t>
        </is>
      </c>
      <c r="K218" s="15"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8" s="15" t="inlineStr">
        <is>
          <t>auto-marked</t>
        </is>
      </c>
      <c r="M218" s="15" t="inlineStr">
        <is>
          <t>y8_pro_02</t>
        </is>
      </c>
      <c r="N218" s="15" t="inlineStr">
        <is>
          <t>Planned</t>
        </is>
      </c>
      <c r="Q218" s="15" t="inlineStr">
        <is>
          <t>Extends Y8 pro_02 (two-way tables for probability) into the statistical/categorical-association framing. Statistical inference rather than probability calculation.</t>
        </is>
      </c>
    </row>
    <row r="219" ht="15" customHeight="1" s="16">
      <c r="A219" s="15" t="inlineStr">
        <is>
          <t>y10_sta_08</t>
        </is>
      </c>
      <c r="B219" s="15" t="n">
        <v>10</v>
      </c>
      <c r="C219" s="15" t="inlineStr">
        <is>
          <t>Statistics</t>
        </is>
      </c>
      <c r="D219" s="15" t="n">
        <v>8</v>
      </c>
      <c r="E219" s="15" t="inlineStr">
        <is>
          <t>full_bivariate_statistical_investigation</t>
        </is>
      </c>
      <c r="F219" s="15" t="inlineStr">
        <is>
          <t>y10_sta_08_full_bivariate_statistical_investigation_v2.html</t>
        </is>
      </c>
      <c r="G219" s="15" t="inlineStr">
        <is>
          <t>AC9M10ST05</t>
        </is>
      </c>
      <c r="H219" s="15" t="inlineStr">
        <is>
          <t>1,2,3,4</t>
        </is>
      </c>
      <c r="I219" s="15" t="inlineStr">
        <is>
          <t>Strict</t>
        </is>
      </c>
      <c r="J219" s="15" t="inlineStr">
        <is>
          <t>Data can be represented in different ways to establish relationships, while considering accuracy and bias</t>
        </is>
      </c>
      <c r="K219" s="15"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9" s="15" t="inlineStr">
        <is>
          <t>auto-marked + open-ended</t>
        </is>
      </c>
      <c r="M219" s="15" t="inlineStr">
        <is>
          <t>y10_sta_04,y10_sta_06</t>
        </is>
      </c>
      <c r="N219" s="15" t="inlineStr">
        <is>
          <t>Planned</t>
        </is>
      </c>
      <c r="Q219" s="15" t="inlineStr">
        <is>
          <t>Capstone — extends Y7 sta_05, Y8 sta_06 and Y9 sta_06 statistical investigation lessons with explicit bivariate-data focus.</t>
        </is>
      </c>
    </row>
    <row r="220" ht="15" customHeight="1" s="16">
      <c r="A220" s="15" t="inlineStr">
        <is>
          <t>y10_pro_01</t>
        </is>
      </c>
      <c r="B220" s="15" t="n">
        <v>10</v>
      </c>
      <c r="C220" s="15" t="inlineStr">
        <is>
          <t>Probability</t>
        </is>
      </c>
      <c r="D220" s="15" t="n">
        <v>1</v>
      </c>
      <c r="E220" s="15" t="inlineStr">
        <is>
          <t>introducing_conditional_probability_language</t>
        </is>
      </c>
      <c r="F220" s="15" t="inlineStr">
        <is>
          <t>y10_pro_01_introducing_conditional_probability_language_v2.html</t>
        </is>
      </c>
      <c r="G220" s="15" t="inlineStr">
        <is>
          <t>AC9M10P01</t>
        </is>
      </c>
      <c r="H220" s="15" t="inlineStr">
        <is>
          <t>1</t>
        </is>
      </c>
      <c r="I220" s="15" t="inlineStr">
        <is>
          <t>Strict</t>
        </is>
      </c>
      <c r="J220" s="15" t="inlineStr">
        <is>
          <t>Conditional probability can be described and interpreted for multiple events and applied in real-life contexts</t>
        </is>
      </c>
      <c r="K220" s="15"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20" s="15" t="inlineStr">
        <is>
          <t>auto-marked</t>
        </is>
      </c>
      <c r="M220" s="15" t="inlineStr">
        <is>
          <t>y8_pro_02</t>
        </is>
      </c>
      <c r="N220" s="15" t="inlineStr">
        <is>
          <t>Planned</t>
        </is>
      </c>
      <c r="Q220" s="15" t="inlineStr">
        <is>
          <t>Watershed lesson — first formal treatment of conditional probability (Sam-flagged). Builds on Y8 pro_02 (two-way tables and Venn diagrams) and Y9 pro_03 (relative frequency for 'and'/'or' events).</t>
        </is>
      </c>
    </row>
    <row r="221" ht="15" customHeight="1" s="16">
      <c r="A221" s="15" t="inlineStr">
        <is>
          <t>y10_pro_02</t>
        </is>
      </c>
      <c r="B221" s="15" t="n">
        <v>10</v>
      </c>
      <c r="C221" s="15" t="inlineStr">
        <is>
          <t>Probability</t>
        </is>
      </c>
      <c r="D221" s="15" t="n">
        <v>2</v>
      </c>
      <c r="E221" s="15" t="inlineStr">
        <is>
          <t>dependent_and_independent_events_with_tree_diagrams</t>
        </is>
      </c>
      <c r="F221" s="15" t="inlineStr">
        <is>
          <t>y10_pro_02_dependent_and_independent_events_with_tree_diagrams_v2.html</t>
        </is>
      </c>
      <c r="G221" s="15" t="inlineStr">
        <is>
          <t>AC9M10P01</t>
        </is>
      </c>
      <c r="H221" s="15" t="inlineStr">
        <is>
          <t>2</t>
        </is>
      </c>
      <c r="I221" s="15" t="inlineStr">
        <is>
          <t>Strict</t>
        </is>
      </c>
      <c r="J221" s="15" t="inlineStr">
        <is>
          <t>Conditional probability can be described and interpreted for multiple events and applied in real-life contexts</t>
        </is>
      </c>
      <c r="K221" s="15"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1" s="15" t="inlineStr">
        <is>
          <t>auto-marked</t>
        </is>
      </c>
      <c r="M221" s="15" t="inlineStr">
        <is>
          <t>y10_pro_01,y9_pro_02</t>
        </is>
      </c>
      <c r="N221" s="15" t="inlineStr">
        <is>
          <t>Planned</t>
        </is>
      </c>
      <c r="Q221" s="15" t="inlineStr">
        <is>
          <t>Cross-strand prereq: Y9 pro_02 (tree diagrams with/without replacement) — Y9 work was informal, Y10 formalises the dependent/independent distinction.</t>
        </is>
      </c>
    </row>
    <row r="222" ht="15" customHeight="1" s="16">
      <c r="A222" s="15" t="inlineStr">
        <is>
          <t>y10_pro_03</t>
        </is>
      </c>
      <c r="B222" s="15" t="n">
        <v>10</v>
      </c>
      <c r="C222" s="15" t="inlineStr">
        <is>
          <t>Probability</t>
        </is>
      </c>
      <c r="D222" s="15" t="n">
        <v>3</v>
      </c>
      <c r="E222" s="15" t="inlineStr">
        <is>
          <t>simulations_with_and_without_replacement</t>
        </is>
      </c>
      <c r="F222" s="15" t="inlineStr">
        <is>
          <t>y10_pro_03_simulations_with_and_without_replacement_v2.html</t>
        </is>
      </c>
      <c r="G222" s="15" t="inlineStr">
        <is>
          <t>AC9M10P02</t>
        </is>
      </c>
      <c r="H222" s="15" t="inlineStr">
        <is>
          <t>1,2</t>
        </is>
      </c>
      <c r="I222" s="15" t="inlineStr">
        <is>
          <t>Strict</t>
        </is>
      </c>
      <c r="J222" s="15" t="inlineStr">
        <is>
          <t>The likelihood of an event occurring can be affected by another event that has already taken place</t>
        </is>
      </c>
      <c r="K222" s="15"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2" s="15" t="inlineStr">
        <is>
          <t>auto-marked + open-ended</t>
        </is>
      </c>
      <c r="M222" s="15" t="inlineStr">
        <is>
          <t>y10_pro_02</t>
        </is>
      </c>
      <c r="N222" s="15" t="inlineStr">
        <is>
          <t>Planned</t>
        </is>
      </c>
      <c r="Q222" s="15" t="inlineStr">
        <is>
          <t>Practical extension of y10_pro_02 — the simulation makes the abstract dependence/independence distinction concrete.</t>
        </is>
      </c>
    </row>
    <row r="223" ht="15" customHeight="1" s="16">
      <c r="A223" t="inlineStr">
        <is>
          <t>y10_pro_04</t>
        </is>
      </c>
      <c r="B223" t="n">
        <v>10</v>
      </c>
      <c r="C223" s="15" t="inlineStr">
        <is>
          <t>Probability</t>
        </is>
      </c>
      <c r="D223" t="n">
        <v>4</v>
      </c>
      <c r="E223" t="inlineStr">
        <is>
          <t>counter_intuitive_and_decision_simulations</t>
        </is>
      </c>
      <c r="F223" t="inlineStr">
        <is>
          <t>y10_pro_04_counter_intuitive_and_decision_simulations_v2.html</t>
        </is>
      </c>
      <c r="G223" t="inlineStr">
        <is>
          <t>AC9M10P02</t>
        </is>
      </c>
      <c r="H223" t="inlineStr">
        <is>
          <t>3,4,5</t>
        </is>
      </c>
      <c r="I223" s="15" t="inlineStr">
        <is>
          <t>Strict</t>
        </is>
      </c>
      <c r="J223" t="inlineStr">
        <is>
          <t>The likelihood of an event occurring can be affected by another event that has already taken place</t>
        </is>
      </c>
      <c r="K223"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3" t="inlineStr">
        <is>
          <t>auto-marked + open-ended</t>
        </is>
      </c>
      <c r="M223" t="inlineStr">
        <is>
          <t>y10_pro_03</t>
        </is>
      </c>
      <c r="N223" t="inlineStr">
        <is>
          <t>Planned</t>
        </is>
      </c>
      <c r="Q223" t="inlineStr">
        <is>
          <t>Capstone probability lesson for Y10 — combines famous counter-intuitive problems with applied decision-making contexts. Builds on simulation work from Y7 pro_03, Y8 pro_04, Y9 pro_04.</t>
        </is>
      </c>
    </row>
    <row r="224" ht="15" customHeight="1" s="16">
      <c r="C224" s="15" t="n"/>
      <c r="I224" s="15" t="n"/>
    </row>
    <row r="225" ht="15" customHeight="1" s="16">
      <c r="C225" s="15" t="n"/>
      <c r="I225" s="15" t="n"/>
    </row>
    <row r="226" ht="15" customHeight="1" s="16">
      <c r="C226" s="15" t="n"/>
      <c r="I226" s="15" t="n"/>
    </row>
    <row r="227" ht="15" customHeight="1" s="16">
      <c r="C227" s="15" t="n"/>
      <c r="I227" s="15" t="n"/>
    </row>
    <row r="228" ht="15" customHeight="1" s="16">
      <c r="C228" s="15" t="n"/>
      <c r="I228" s="15" t="n"/>
    </row>
    <row r="229" ht="15" customHeight="1" s="16">
      <c r="C229" s="15" t="n"/>
      <c r="I229" s="15" t="n"/>
    </row>
    <row r="230" ht="15" customHeight="1" s="16">
      <c r="C230" s="15" t="n"/>
      <c r="I230" s="15" t="n"/>
    </row>
    <row r="231" ht="15" customHeight="1" s="16">
      <c r="C231" s="15" t="n"/>
      <c r="I231" s="15" t="n"/>
    </row>
    <row r="232" ht="15" customHeight="1" s="16">
      <c r="C232" s="15" t="n"/>
      <c r="I232" s="15" t="n"/>
    </row>
    <row r="233" ht="15" customHeight="1" s="16">
      <c r="C233" s="15" t="n"/>
      <c r="I233" s="15" t="n"/>
    </row>
    <row r="234" ht="15" customHeight="1" s="16">
      <c r="C234" s="15" t="n"/>
      <c r="I234" s="15" t="n"/>
    </row>
    <row r="235" ht="15" customHeight="1" s="16">
      <c r="C235" s="15" t="n"/>
      <c r="I235" s="15" t="n"/>
    </row>
    <row r="236" ht="15" customHeight="1" s="16">
      <c r="C236" s="15" t="n"/>
      <c r="I236" s="15" t="n"/>
    </row>
    <row r="237" ht="15" customHeight="1" s="16">
      <c r="C237" s="15" t="n"/>
      <c r="I237" s="15" t="n"/>
    </row>
    <row r="238" ht="15" customHeight="1" s="16">
      <c r="C238" s="15" t="n"/>
      <c r="I238" s="15" t="n"/>
    </row>
    <row r="239" ht="15" customHeight="1" s="16">
      <c r="C239" s="15" t="n"/>
      <c r="I239" s="15" t="n"/>
    </row>
    <row r="240" ht="15" customHeight="1" s="16">
      <c r="C240" s="15" t="n"/>
      <c r="I240" s="15" t="n"/>
    </row>
    <row r="241" ht="15" customHeight="1" s="16">
      <c r="C241" s="15" t="n"/>
      <c r="I241" s="15" t="n"/>
    </row>
    <row r="242" ht="15" customHeight="1" s="16">
      <c r="C242" s="15" t="n"/>
      <c r="I242" s="15" t="n"/>
    </row>
    <row r="243" ht="15" customHeight="1" s="16">
      <c r="C243" s="15" t="n"/>
      <c r="I243" s="15" t="n"/>
    </row>
    <row r="244" ht="15" customHeight="1" s="16">
      <c r="C244" s="15" t="n"/>
      <c r="I244" s="15" t="n"/>
    </row>
    <row r="245" ht="15" customHeight="1" s="16">
      <c r="C245" s="15" t="n"/>
      <c r="I245" s="15" t="n"/>
    </row>
    <row r="246" ht="15" customHeight="1" s="16">
      <c r="C246" s="15" t="n"/>
      <c r="I246" s="15" t="n"/>
    </row>
    <row r="247" ht="15" customHeight="1" s="16">
      <c r="C247" s="15" t="n"/>
      <c r="I247" s="15" t="n"/>
    </row>
    <row r="248" ht="15" customHeight="1" s="16">
      <c r="C248" s="15" t="n"/>
      <c r="I248" s="15" t="n"/>
    </row>
    <row r="249" ht="15" customHeight="1" s="16">
      <c r="C249" s="15" t="n"/>
      <c r="I249" s="15" t="n"/>
    </row>
    <row r="250" ht="15" customHeight="1" s="16">
      <c r="C250" s="15" t="n"/>
      <c r="I250" s="15" t="n"/>
    </row>
    <row r="251" ht="15" customHeight="1" s="16">
      <c r="C251" s="15" t="n"/>
      <c r="I251" s="15" t="n"/>
    </row>
    <row r="252" ht="15" customHeight="1" s="16">
      <c r="C252" s="15" t="n"/>
      <c r="I252" s="15" t="n"/>
    </row>
    <row r="253" ht="15" customHeight="1" s="16">
      <c r="C253" s="15" t="n"/>
      <c r="I253" s="15" t="n"/>
    </row>
    <row r="254" ht="15" customHeight="1" s="16">
      <c r="C254" s="15" t="n"/>
      <c r="I254" s="15" t="n"/>
    </row>
    <row r="255" ht="15" customHeight="1" s="16">
      <c r="C255" s="15" t="n"/>
      <c r="I255" s="15" t="n"/>
    </row>
    <row r="256" ht="15" customHeight="1" s="16">
      <c r="C256" s="15" t="n"/>
      <c r="I256" s="15" t="n"/>
    </row>
    <row r="257" ht="15" customHeight="1" s="16">
      <c r="C257" s="15" t="n"/>
      <c r="I257" s="15" t="n"/>
    </row>
    <row r="258" ht="15" customHeight="1" s="16">
      <c r="C258" s="15" t="n"/>
      <c r="I258" s="15" t="n"/>
    </row>
    <row r="259" ht="15" customHeight="1" s="16">
      <c r="C259" s="15" t="n"/>
      <c r="I259" s="15" t="n"/>
    </row>
    <row r="260" ht="15" customHeight="1" s="16">
      <c r="C260" s="15" t="n"/>
      <c r="I260" s="15" t="n"/>
    </row>
    <row r="261" ht="15" customHeight="1" s="16">
      <c r="C261" s="15" t="n"/>
      <c r="I261" s="15" t="n"/>
    </row>
    <row r="262" ht="15" customHeight="1" s="16">
      <c r="C262" s="15" t="n"/>
      <c r="I262" s="15" t="n"/>
    </row>
    <row r="263" ht="15" customHeight="1" s="16">
      <c r="C263" s="15" t="n"/>
      <c r="I263" s="15" t="n"/>
    </row>
    <row r="264" ht="15" customHeight="1" s="16">
      <c r="C264" s="15" t="n"/>
      <c r="I264" s="15" t="n"/>
    </row>
    <row r="265" ht="15" customHeight="1" s="16">
      <c r="C265" s="15" t="n"/>
      <c r="I265" s="15" t="n"/>
    </row>
    <row r="266" ht="15" customHeight="1" s="16">
      <c r="C266" s="15" t="n"/>
      <c r="I266" s="15" t="n"/>
    </row>
    <row r="267" ht="15" customHeight="1" s="16">
      <c r="C267" s="15" t="n"/>
      <c r="I267" s="15" t="n"/>
    </row>
    <row r="268" ht="15" customHeight="1" s="16">
      <c r="C268" s="15" t="n"/>
      <c r="I268" s="15" t="n"/>
    </row>
    <row r="269" ht="15" customHeight="1" s="16">
      <c r="C269" s="15" t="n"/>
      <c r="I269" s="15" t="n"/>
    </row>
    <row r="270" ht="15" customHeight="1" s="16">
      <c r="C270" s="15" t="n"/>
      <c r="I270" s="15" t="n"/>
    </row>
    <row r="271" ht="15" customHeight="1" s="16">
      <c r="C271" s="15" t="n"/>
      <c r="I271" s="15" t="n"/>
    </row>
    <row r="272" ht="15" customHeight="1" s="16">
      <c r="C272" s="15" t="n"/>
      <c r="I272" s="15" t="n"/>
    </row>
    <row r="273" ht="15" customHeight="1" s="16">
      <c r="C273" s="15" t="n"/>
      <c r="I273" s="15" t="n"/>
    </row>
    <row r="274" ht="15" customHeight="1" s="16">
      <c r="C274" s="15" t="n"/>
      <c r="I274" s="15" t="n"/>
    </row>
    <row r="275" ht="15" customHeight="1" s="16">
      <c r="C275" s="15" t="n"/>
      <c r="I275" s="15" t="n"/>
    </row>
    <row r="276" ht="15" customHeight="1" s="16">
      <c r="C276" s="15" t="n"/>
      <c r="I276" s="15" t="n"/>
    </row>
    <row r="277" ht="15" customHeight="1" s="16">
      <c r="C277" s="15" t="n"/>
      <c r="I277" s="15" t="n"/>
    </row>
    <row r="278" ht="15" customHeight="1" s="16">
      <c r="C278" s="15" t="n"/>
      <c r="I278" s="15" t="n"/>
    </row>
    <row r="279" ht="15" customHeight="1" s="16">
      <c r="C279" s="15" t="n"/>
      <c r="I279" s="15" t="n"/>
    </row>
    <row r="280" ht="15" customHeight="1" s="16">
      <c r="C280" s="15" t="n"/>
      <c r="I280" s="15" t="n"/>
    </row>
    <row r="281" ht="15" customHeight="1" s="16">
      <c r="C281" s="15" t="n"/>
      <c r="I281" s="15" t="n"/>
    </row>
    <row r="282" ht="15" customHeight="1" s="16">
      <c r="C282" s="15" t="n"/>
      <c r="I282" s="15" t="n"/>
    </row>
    <row r="283" ht="15" customHeight="1" s="16">
      <c r="C283" s="15" t="n"/>
      <c r="I283" s="15" t="n"/>
    </row>
    <row r="284" ht="15" customHeight="1" s="16">
      <c r="C284" s="15" t="n"/>
      <c r="I284" s="15" t="n"/>
    </row>
    <row r="285" ht="15" customHeight="1" s="16">
      <c r="C285" s="15" t="n"/>
      <c r="I285" s="15" t="n"/>
    </row>
    <row r="286" ht="15" customHeight="1" s="16">
      <c r="C286" s="15" t="n"/>
      <c r="I286" s="15" t="n"/>
    </row>
    <row r="287" ht="15" customHeight="1" s="16">
      <c r="C287" s="15" t="n"/>
      <c r="I287" s="15" t="n"/>
    </row>
    <row r="288" ht="15" customHeight="1" s="16">
      <c r="C288" s="15" t="n"/>
      <c r="I288" s="15" t="n"/>
    </row>
    <row r="289" ht="15" customHeight="1" s="16">
      <c r="C289" s="15" t="n"/>
      <c r="I289" s="15" t="n"/>
    </row>
    <row r="290" ht="15" customHeight="1" s="16">
      <c r="C290" s="15" t="n"/>
      <c r="I290" s="15" t="n"/>
    </row>
    <row r="291" ht="15" customHeight="1" s="16">
      <c r="C291" s="15" t="n"/>
      <c r="I291" s="15" t="n"/>
    </row>
    <row r="292" ht="15" customHeight="1" s="16">
      <c r="C292" s="15" t="n"/>
      <c r="I292" s="15" t="n"/>
    </row>
    <row r="293" ht="15" customHeight="1" s="16">
      <c r="C293" s="15" t="n"/>
      <c r="I293" s="15" t="n"/>
    </row>
    <row r="294" ht="15" customHeight="1" s="16">
      <c r="C294" s="15" t="n"/>
      <c r="I294" s="15" t="n"/>
    </row>
    <row r="295" ht="15" customHeight="1" s="16">
      <c r="C295" s="15" t="n"/>
      <c r="I295" s="15" t="n"/>
    </row>
    <row r="296" ht="15" customHeight="1" s="16">
      <c r="C296" s="15" t="n"/>
      <c r="I296" s="15" t="n"/>
    </row>
    <row r="297" ht="15" customHeight="1" s="16">
      <c r="C297" s="15" t="n"/>
      <c r="I297" s="15" t="n"/>
    </row>
    <row r="298" ht="15" customHeight="1" s="16">
      <c r="C298" s="15" t="n"/>
      <c r="I298" s="15" t="n"/>
    </row>
    <row r="299" ht="15" customHeight="1" s="16">
      <c r="C299" s="15" t="n"/>
      <c r="I299" s="15" t="n"/>
    </row>
    <row r="300" ht="15" customHeight="1" s="16">
      <c r="C300" s="15" t="n"/>
      <c r="I300" s="15" t="n"/>
    </row>
    <row r="301" ht="15" customHeight="1" s="16">
      <c r="C301" s="15" t="n"/>
      <c r="I301" s="15" t="n"/>
    </row>
    <row r="302" ht="15" customHeight="1" s="16">
      <c r="C302" s="15" t="n"/>
      <c r="I302" s="15" t="n"/>
    </row>
    <row r="303" ht="15" customHeight="1" s="16">
      <c r="C303" s="15" t="n"/>
      <c r="I303" s="15" t="n"/>
    </row>
    <row r="304" ht="15" customHeight="1" s="16">
      <c r="C304" s="15" t="n"/>
      <c r="I304" s="15" t="n"/>
    </row>
    <row r="305" ht="15" customHeight="1" s="16">
      <c r="C305" s="15" t="n"/>
      <c r="I305" s="15" t="n"/>
    </row>
    <row r="306" ht="15" customHeight="1" s="16">
      <c r="C306" s="15" t="n"/>
      <c r="I306" s="15" t="n"/>
    </row>
    <row r="307" ht="15" customHeight="1" s="16">
      <c r="C307" s="15" t="n"/>
      <c r="I307" s="15" t="n"/>
    </row>
    <row r="308" ht="15" customHeight="1" s="16">
      <c r="C308" s="15" t="n"/>
      <c r="I308" s="15" t="n"/>
    </row>
    <row r="309" ht="15" customHeight="1" s="16">
      <c r="C309" s="15" t="n"/>
      <c r="I309" s="15" t="n"/>
    </row>
    <row r="310" ht="15" customHeight="1" s="16">
      <c r="C310" s="15" t="n"/>
      <c r="I310" s="15" t="n"/>
    </row>
    <row r="311" ht="15" customHeight="1" s="16">
      <c r="C311" s="15" t="n"/>
      <c r="I311" s="15" t="n"/>
    </row>
    <row r="312" ht="15" customHeight="1" s="16">
      <c r="C312" s="15" t="n"/>
      <c r="I312" s="15" t="n"/>
    </row>
    <row r="313" ht="15" customHeight="1" s="16">
      <c r="C313" s="15" t="n"/>
      <c r="I313" s="15" t="n"/>
    </row>
    <row r="314" ht="15" customHeight="1" s="16">
      <c r="C314" s="15" t="n"/>
      <c r="I314" s="15" t="n"/>
    </row>
    <row r="315" ht="15" customHeight="1" s="16">
      <c r="C315" s="15" t="n"/>
      <c r="I315" s="15" t="n"/>
    </row>
    <row r="316" ht="15" customHeight="1" s="16">
      <c r="C316" s="15" t="n"/>
      <c r="I316" s="15" t="n"/>
    </row>
    <row r="317" ht="15" customHeight="1" s="16">
      <c r="C317" s="15" t="n"/>
      <c r="I317" s="15" t="n"/>
    </row>
    <row r="318" ht="15" customHeight="1" s="16">
      <c r="C318" s="15" t="n"/>
      <c r="I318" s="15" t="n"/>
    </row>
    <row r="319" ht="15" customHeight="1" s="16">
      <c r="C319" s="15" t="n"/>
      <c r="I319" s="15" t="n"/>
    </row>
    <row r="320" ht="15" customHeight="1" s="16">
      <c r="C320" s="15" t="n"/>
      <c r="I320" s="15" t="n"/>
    </row>
    <row r="321" ht="15" customHeight="1" s="16">
      <c r="C321" s="15" t="n"/>
      <c r="I321" s="15" t="n"/>
    </row>
    <row r="322" ht="15" customHeight="1" s="16">
      <c r="C322" s="15" t="n"/>
      <c r="I322" s="15" t="n"/>
    </row>
    <row r="323" ht="15" customHeight="1" s="16">
      <c r="C323" s="15" t="n"/>
      <c r="I323" s="15" t="n"/>
    </row>
    <row r="324" ht="15" customHeight="1" s="16">
      <c r="C324" s="15" t="n"/>
      <c r="I324" s="15" t="n"/>
    </row>
    <row r="325" ht="15" customHeight="1" s="16">
      <c r="C325" s="15" t="n"/>
      <c r="I325" s="15" t="n"/>
    </row>
    <row r="326" ht="15" customHeight="1" s="16">
      <c r="C326" s="15" t="n"/>
      <c r="I326" s="15" t="n"/>
    </row>
    <row r="327" ht="15" customHeight="1" s="16">
      <c r="C327" s="15" t="n"/>
      <c r="I327" s="15" t="n"/>
    </row>
    <row r="328" ht="15" customHeight="1" s="16">
      <c r="C328" s="15" t="n"/>
      <c r="I328" s="15" t="n"/>
    </row>
    <row r="329" ht="15" customHeight="1" s="16">
      <c r="C329" s="15" t="n"/>
      <c r="I329" s="15" t="n"/>
    </row>
    <row r="330" ht="15" customHeight="1" s="16">
      <c r="C330" s="15" t="n"/>
      <c r="I330" s="15" t="n"/>
    </row>
    <row r="331" ht="15" customHeight="1" s="16">
      <c r="C331" s="15" t="n"/>
      <c r="I331" s="15" t="n"/>
    </row>
    <row r="332" ht="15" customHeight="1" s="16">
      <c r="C332" s="15" t="n"/>
      <c r="I332" s="15" t="n"/>
    </row>
    <row r="333" ht="15" customHeight="1" s="16">
      <c r="C333" s="15" t="n"/>
      <c r="I333" s="15" t="n"/>
    </row>
    <row r="334" ht="15" customHeight="1" s="16">
      <c r="C334" s="15" t="n"/>
      <c r="I334" s="15" t="n"/>
    </row>
    <row r="335" ht="15" customHeight="1" s="16">
      <c r="C335" s="15" t="n"/>
      <c r="I335" s="15" t="n"/>
    </row>
    <row r="336" ht="15" customHeight="1" s="16">
      <c r="C336" s="15" t="n"/>
      <c r="I336" s="15" t="n"/>
    </row>
    <row r="337" ht="15" customHeight="1" s="16">
      <c r="C337" s="15" t="n"/>
      <c r="I337" s="15" t="n"/>
    </row>
    <row r="338" ht="15" customHeight="1" s="16">
      <c r="C338" s="15" t="n"/>
      <c r="I338" s="15" t="n"/>
    </row>
    <row r="339" ht="15" customHeight="1" s="16">
      <c r="C339" s="15" t="n"/>
      <c r="I339" s="15" t="n"/>
    </row>
    <row r="340" ht="15" customHeight="1" s="16">
      <c r="C340" s="15" t="n"/>
      <c r="I340" s="15" t="n"/>
    </row>
    <row r="341" ht="15" customHeight="1" s="16">
      <c r="C341" s="15" t="n"/>
      <c r="I341" s="15" t="n"/>
    </row>
    <row r="342" ht="15" customHeight="1" s="16">
      <c r="C342" s="15" t="n"/>
      <c r="I342" s="15" t="n"/>
    </row>
    <row r="343" ht="15" customHeight="1" s="16">
      <c r="C343" s="15" t="n"/>
      <c r="I343" s="15" t="n"/>
    </row>
    <row r="344" ht="15" customHeight="1" s="16">
      <c r="C344" s="15" t="n"/>
      <c r="I344" s="15" t="n"/>
    </row>
    <row r="345" ht="15" customHeight="1" s="16">
      <c r="C345" s="15" t="n"/>
      <c r="I345" s="15" t="n"/>
    </row>
    <row r="346" ht="15" customHeight="1" s="16">
      <c r="C346" s="15" t="n"/>
      <c r="I346" s="15" t="n"/>
    </row>
    <row r="347" ht="15" customHeight="1" s="16">
      <c r="C347" s="15" t="n"/>
      <c r="I347" s="15" t="n"/>
    </row>
    <row r="348" ht="15" customHeight="1" s="16">
      <c r="C348" s="15" t="n"/>
      <c r="I348" s="15" t="n"/>
    </row>
    <row r="349" ht="15" customHeight="1" s="16">
      <c r="C349" s="15" t="n"/>
      <c r="I349" s="15" t="n"/>
    </row>
    <row r="350" ht="15" customHeight="1" s="16">
      <c r="C350" s="15" t="n"/>
      <c r="I350" s="15" t="n"/>
    </row>
    <row r="351" ht="15" customHeight="1" s="16">
      <c r="C351" s="15" t="n"/>
      <c r="I351" s="15" t="n"/>
    </row>
    <row r="352" ht="15" customHeight="1" s="16">
      <c r="C352" s="15" t="n"/>
      <c r="I352" s="15" t="n"/>
    </row>
    <row r="353" ht="15" customHeight="1" s="16">
      <c r="C353" s="15" t="n"/>
      <c r="I353" s="15" t="n"/>
    </row>
    <row r="354" ht="15" customHeight="1" s="16">
      <c r="C354" s="15" t="n"/>
      <c r="I354" s="15" t="n"/>
    </row>
    <row r="355" ht="15" customHeight="1" s="16">
      <c r="C355" s="15" t="n"/>
      <c r="I355" s="15" t="n"/>
    </row>
    <row r="356" ht="15" customHeight="1" s="16">
      <c r="C356" s="15" t="n"/>
      <c r="I356" s="15" t="n"/>
    </row>
    <row r="357" ht="15" customHeight="1" s="16">
      <c r="C357" s="15" t="n"/>
      <c r="I357" s="15" t="n"/>
    </row>
    <row r="358" ht="15" customHeight="1" s="16">
      <c r="C358" s="15" t="n"/>
      <c r="I358" s="15" t="n"/>
    </row>
    <row r="359" ht="15" customHeight="1" s="16">
      <c r="C359" s="15" t="n"/>
      <c r="I359" s="15" t="n"/>
    </row>
    <row r="360" ht="15" customHeight="1" s="16">
      <c r="C360" s="15" t="n"/>
      <c r="I360" s="15" t="n"/>
    </row>
    <row r="361" ht="15" customHeight="1" s="16">
      <c r="C361" s="15" t="n"/>
      <c r="I361" s="15" t="n"/>
    </row>
    <row r="362" ht="15" customHeight="1" s="16">
      <c r="C362" s="15" t="n"/>
      <c r="I362" s="15" t="n"/>
    </row>
    <row r="363" ht="15" customHeight="1" s="16">
      <c r="C363" s="15" t="n"/>
      <c r="I363" s="15" t="n"/>
    </row>
    <row r="364" ht="15" customHeight="1" s="16">
      <c r="C364" s="15" t="n"/>
      <c r="I364" s="15" t="n"/>
    </row>
    <row r="365" ht="15" customHeight="1" s="16">
      <c r="C365" s="15" t="n"/>
      <c r="I365" s="15" t="n"/>
    </row>
    <row r="366" ht="15" customHeight="1" s="16">
      <c r="C366" s="15" t="n"/>
      <c r="I366" s="15" t="n"/>
    </row>
    <row r="367" ht="15" customHeight="1" s="16">
      <c r="C367" s="15" t="n"/>
      <c r="I367" s="15" t="n"/>
    </row>
    <row r="368" ht="15" customHeight="1" s="16">
      <c r="C368" s="15" t="n"/>
      <c r="I368" s="15" t="n"/>
    </row>
    <row r="369" ht="15" customHeight="1" s="16">
      <c r="C369" s="15" t="n"/>
      <c r="I369" s="15" t="n"/>
    </row>
    <row r="370" ht="15" customHeight="1" s="16">
      <c r="C370" s="15" t="n"/>
      <c r="I370" s="15" t="n"/>
    </row>
    <row r="371" ht="15" customHeight="1" s="16">
      <c r="C371" s="15" t="n"/>
      <c r="I371" s="15" t="n"/>
    </row>
    <row r="372" ht="15" customHeight="1" s="16">
      <c r="C372" s="15" t="n"/>
      <c r="I372" s="15" t="n"/>
    </row>
    <row r="373" ht="15" customHeight="1" s="16">
      <c r="C373" s="15" t="n"/>
      <c r="I373" s="15" t="n"/>
    </row>
    <row r="374" ht="15" customHeight="1" s="16">
      <c r="C374" s="15" t="n"/>
      <c r="I374" s="15" t="n"/>
    </row>
    <row r="375" ht="15" customHeight="1" s="16">
      <c r="C375" s="15" t="n"/>
      <c r="I375" s="15" t="n"/>
    </row>
    <row r="376" ht="15" customHeight="1" s="16">
      <c r="C376" s="15" t="n"/>
      <c r="I376" s="15" t="n"/>
    </row>
    <row r="377" ht="15" customHeight="1" s="16">
      <c r="C377" s="15" t="n"/>
      <c r="I377" s="15" t="n"/>
    </row>
    <row r="378" ht="15" customHeight="1" s="16">
      <c r="C378" s="15" t="n"/>
      <c r="I378" s="15" t="n"/>
    </row>
    <row r="379" ht="15" customHeight="1" s="16">
      <c r="C379" s="15" t="n"/>
      <c r="I379" s="15" t="n"/>
    </row>
    <row r="380" ht="15" customHeight="1" s="16">
      <c r="C380" s="15" t="n"/>
      <c r="I380" s="15" t="n"/>
    </row>
    <row r="381" ht="15" customHeight="1" s="16">
      <c r="C381" s="15" t="n"/>
      <c r="I381" s="15" t="n"/>
    </row>
    <row r="382" ht="15" customHeight="1" s="16">
      <c r="C382" s="15" t="n"/>
      <c r="I382" s="15" t="n"/>
    </row>
    <row r="383" ht="15" customHeight="1" s="16">
      <c r="C383" s="15" t="n"/>
      <c r="I383" s="15" t="n"/>
    </row>
    <row r="384" ht="15" customHeight="1" s="16">
      <c r="C384" s="15" t="n"/>
      <c r="I384" s="15" t="n"/>
    </row>
    <row r="385" ht="15" customHeight="1" s="16">
      <c r="C385" s="15" t="n"/>
      <c r="I385" s="15" t="n"/>
    </row>
    <row r="386" ht="15" customHeight="1" s="16">
      <c r="C386" s="15" t="n"/>
      <c r="I386" s="15" t="n"/>
    </row>
    <row r="387" ht="15" customHeight="1" s="16">
      <c r="C387" s="15" t="n"/>
      <c r="I387" s="15" t="n"/>
    </row>
    <row r="388" ht="15" customHeight="1" s="16">
      <c r="C388" s="15" t="n"/>
      <c r="I388" s="15" t="n"/>
    </row>
    <row r="389" ht="15" customHeight="1" s="16">
      <c r="C389" s="15" t="n"/>
      <c r="I389" s="15" t="n"/>
    </row>
    <row r="390" ht="15" customHeight="1" s="16">
      <c r="C390" s="15" t="n"/>
      <c r="I390" s="15" t="n"/>
    </row>
    <row r="391" ht="15" customHeight="1" s="16">
      <c r="C391" s="15" t="n"/>
      <c r="I391" s="15" t="n"/>
    </row>
    <row r="392" ht="15" customHeight="1" s="16">
      <c r="C392" s="15" t="n"/>
      <c r="I392" s="15" t="n"/>
    </row>
    <row r="393" ht="15" customHeight="1" s="16">
      <c r="C393" s="15" t="n"/>
      <c r="I393" s="15" t="n"/>
    </row>
    <row r="394" ht="15" customHeight="1" s="16">
      <c r="C394" s="15" t="n"/>
      <c r="I394" s="15" t="n"/>
    </row>
    <row r="395" ht="15" customHeight="1" s="16">
      <c r="C395" s="15" t="n"/>
      <c r="I395" s="15" t="n"/>
    </row>
    <row r="396" ht="15" customHeight="1" s="16">
      <c r="C396" s="15" t="n"/>
      <c r="I396" s="15" t="n"/>
    </row>
    <row r="397" ht="15" customHeight="1" s="16">
      <c r="C397" s="15" t="n"/>
      <c r="I397" s="15" t="n"/>
    </row>
    <row r="398" ht="15" customHeight="1" s="16">
      <c r="C398" s="15" t="n"/>
      <c r="I398" s="15" t="n"/>
    </row>
    <row r="399" ht="15" customHeight="1" s="16">
      <c r="C399" s="15" t="n"/>
      <c r="I399" s="15" t="n"/>
    </row>
    <row r="400" ht="15" customHeight="1" s="16">
      <c r="C400" s="15" t="n"/>
      <c r="I400" s="15" t="n"/>
    </row>
    <row r="401" ht="15" customHeight="1" s="16">
      <c r="C401" s="15" t="n"/>
      <c r="I401" s="15" t="n"/>
    </row>
    <row r="402" ht="15" customHeight="1" s="16">
      <c r="C402" s="15" t="n"/>
      <c r="I402" s="15" t="n"/>
    </row>
    <row r="403" ht="15" customHeight="1" s="16">
      <c r="C403" s="15" t="n"/>
      <c r="I403" s="15" t="n"/>
    </row>
    <row r="404" ht="15" customHeight="1" s="16">
      <c r="C404" s="15" t="n"/>
      <c r="I404" s="15" t="n"/>
    </row>
    <row r="405" ht="15" customHeight="1" s="16">
      <c r="C405" s="15" t="n"/>
      <c r="I405" s="15" t="n"/>
    </row>
    <row r="406" ht="15" customHeight="1" s="16">
      <c r="C406" s="15" t="n"/>
      <c r="I406" s="15" t="n"/>
    </row>
    <row r="407" ht="15" customHeight="1" s="16">
      <c r="C407" s="15" t="n"/>
      <c r="I407" s="15" t="n"/>
    </row>
    <row r="408" ht="15" customHeight="1" s="16">
      <c r="C408" s="15" t="n"/>
      <c r="I408" s="15" t="n"/>
    </row>
    <row r="409" ht="15" customHeight="1" s="16">
      <c r="C409" s="15" t="n"/>
      <c r="I409" s="15" t="n"/>
    </row>
    <row r="410" ht="15" customHeight="1" s="16">
      <c r="C410" s="15" t="n"/>
      <c r="I410" s="15" t="n"/>
    </row>
    <row r="411" ht="15" customHeight="1" s="16">
      <c r="C411" s="15" t="n"/>
      <c r="I411" s="15" t="n"/>
    </row>
    <row r="412" ht="15" customHeight="1" s="16">
      <c r="C412" s="15" t="n"/>
      <c r="I412" s="15" t="n"/>
    </row>
    <row r="413" ht="15" customHeight="1" s="16">
      <c r="C413" s="15" t="n"/>
      <c r="I413" s="15" t="n"/>
    </row>
    <row r="414" ht="15" customHeight="1" s="16">
      <c r="C414" s="15" t="n"/>
      <c r="I414" s="15" t="n"/>
    </row>
    <row r="415" ht="15" customHeight="1" s="16">
      <c r="C415" s="15" t="n"/>
      <c r="I415" s="15" t="n"/>
    </row>
    <row r="416" ht="15" customHeight="1" s="16">
      <c r="C416" s="15" t="n"/>
      <c r="I416" s="15" t="n"/>
    </row>
    <row r="417" ht="15" customHeight="1" s="16">
      <c r="C417" s="15" t="n"/>
      <c r="I417" s="15" t="n"/>
    </row>
    <row r="418" ht="15" customHeight="1" s="16">
      <c r="C418" s="15" t="n"/>
      <c r="I418" s="15" t="n"/>
    </row>
    <row r="419" ht="15" customHeight="1" s="16">
      <c r="C419" s="15" t="n"/>
      <c r="I419" s="15" t="n"/>
    </row>
    <row r="420" ht="15" customHeight="1" s="16">
      <c r="C420" s="15" t="n"/>
      <c r="I420" s="15" t="n"/>
    </row>
    <row r="421" ht="15" customHeight="1" s="16">
      <c r="C421" s="15" t="n"/>
      <c r="I421" s="15" t="n"/>
    </row>
    <row r="422" ht="15" customHeight="1" s="16">
      <c r="C422" s="15" t="n"/>
      <c r="I422" s="15" t="n"/>
    </row>
    <row r="423" ht="15" customHeight="1" s="16">
      <c r="C423" s="15" t="n"/>
      <c r="I423" s="15" t="n"/>
    </row>
    <row r="424" ht="15" customHeight="1" s="16">
      <c r="C424" s="15" t="n"/>
      <c r="I424" s="15" t="n"/>
    </row>
    <row r="425" ht="15" customHeight="1" s="16">
      <c r="C425" s="15" t="n"/>
      <c r="I425" s="15" t="n"/>
    </row>
    <row r="426" ht="15" customHeight="1" s="16">
      <c r="C426" s="15" t="n"/>
      <c r="I426" s="15" t="n"/>
    </row>
    <row r="427" ht="15" customHeight="1" s="16">
      <c r="C427" s="15" t="n"/>
      <c r="I427" s="15" t="n"/>
    </row>
    <row r="428" ht="15" customHeight="1" s="16">
      <c r="C428" s="15" t="n"/>
      <c r="I428" s="15" t="n"/>
    </row>
    <row r="429" ht="15" customHeight="1" s="16">
      <c r="C429" s="15" t="n"/>
      <c r="I429" s="15" t="n"/>
    </row>
    <row r="430" ht="15" customHeight="1" s="16">
      <c r="C430" s="15" t="n"/>
      <c r="I430" s="15" t="n"/>
    </row>
    <row r="431" ht="15" customHeight="1" s="16">
      <c r="C431" s="15" t="n"/>
      <c r="I431" s="15" t="n"/>
    </row>
    <row r="432" ht="15" customHeight="1" s="16">
      <c r="C432" s="15" t="n"/>
      <c r="I432" s="15" t="n"/>
    </row>
    <row r="433" ht="15" customHeight="1" s="16">
      <c r="C433" s="15" t="n"/>
      <c r="I433" s="15" t="n"/>
    </row>
    <row r="434" ht="15" customHeight="1" s="16">
      <c r="C434" s="15" t="n"/>
      <c r="I434" s="15" t="n"/>
    </row>
    <row r="435" ht="15" customHeight="1" s="16">
      <c r="C435" s="15" t="n"/>
      <c r="I435" s="15" t="n"/>
    </row>
    <row r="436" ht="15" customHeight="1" s="16">
      <c r="C436" s="15" t="n"/>
      <c r="I436" s="15" t="n"/>
    </row>
    <row r="437" ht="15" customHeight="1" s="16">
      <c r="C437" s="15" t="n"/>
      <c r="I437" s="15" t="n"/>
    </row>
    <row r="438" ht="15" customHeight="1" s="16">
      <c r="C438" s="15" t="n"/>
      <c r="I438" s="15" t="n"/>
    </row>
    <row r="439" ht="15" customHeight="1" s="16">
      <c r="C439" s="15" t="n"/>
      <c r="I439" s="15" t="n"/>
    </row>
    <row r="440" ht="15" customHeight="1" s="16">
      <c r="C440" s="15" t="n"/>
      <c r="I440" s="15" t="n"/>
    </row>
    <row r="441" ht="15" customHeight="1" s="16">
      <c r="C441" s="15" t="n"/>
      <c r="I441" s="15" t="n"/>
    </row>
    <row r="442" ht="15" customHeight="1" s="16">
      <c r="C442" s="15" t="n"/>
      <c r="I442" s="15" t="n"/>
    </row>
    <row r="443" ht="15" customHeight="1" s="16">
      <c r="C443" s="15" t="n"/>
      <c r="I443" s="15" t="n"/>
    </row>
    <row r="444" ht="15" customHeight="1" s="16">
      <c r="C444" s="15" t="n"/>
      <c r="I444" s="15" t="n"/>
    </row>
    <row r="445" ht="15" customHeight="1" s="16">
      <c r="C445" s="15" t="n"/>
      <c r="I445" s="15" t="n"/>
    </row>
    <row r="446" ht="15" customHeight="1" s="16">
      <c r="C446" s="15" t="n"/>
      <c r="I446" s="15" t="n"/>
    </row>
    <row r="447" ht="15" customHeight="1" s="16">
      <c r="C447" s="15" t="n"/>
      <c r="I447" s="15" t="n"/>
    </row>
    <row r="448" ht="15" customHeight="1" s="16">
      <c r="C448" s="15" t="n"/>
      <c r="I448" s="15" t="n"/>
    </row>
    <row r="449" ht="15" customHeight="1" s="16">
      <c r="C449" s="15" t="n"/>
      <c r="I449" s="15" t="n"/>
    </row>
    <row r="450" ht="15" customHeight="1" s="16">
      <c r="C450" s="15" t="n"/>
      <c r="I450" s="15" t="n"/>
    </row>
    <row r="451" ht="15" customHeight="1" s="16">
      <c r="C451" s="15" t="n"/>
      <c r="I451" s="15" t="n"/>
    </row>
    <row r="452" ht="15" customHeight="1" s="16">
      <c r="C452" s="15" t="n"/>
      <c r="I452" s="15" t="n"/>
    </row>
    <row r="453" ht="15" customHeight="1" s="16">
      <c r="C453" s="15" t="n"/>
      <c r="I453" s="15" t="n"/>
    </row>
    <row r="454" ht="15" customHeight="1" s="16">
      <c r="C454" s="15" t="n"/>
      <c r="I454" s="15" t="n"/>
    </row>
    <row r="455" ht="15" customHeight="1" s="16">
      <c r="C455" s="15" t="n"/>
      <c r="I455" s="15" t="n"/>
    </row>
    <row r="456" ht="15" customHeight="1" s="16">
      <c r="C456" s="15" t="n"/>
      <c r="I456" s="15" t="n"/>
    </row>
    <row r="457" ht="15" customHeight="1" s="16">
      <c r="C457" s="15" t="n"/>
      <c r="I457" s="15" t="n"/>
    </row>
    <row r="458" ht="15" customHeight="1" s="16">
      <c r="C458" s="15" t="n"/>
      <c r="I458" s="15" t="n"/>
    </row>
    <row r="459" ht="15" customHeight="1" s="16">
      <c r="C459" s="15" t="n"/>
      <c r="I459" s="15" t="n"/>
    </row>
    <row r="460" ht="15" customHeight="1" s="16">
      <c r="C460" s="15" t="n"/>
      <c r="I460" s="15" t="n"/>
    </row>
    <row r="461" ht="15" customHeight="1" s="16">
      <c r="C461" s="15" t="n"/>
      <c r="I461" s="15" t="n"/>
    </row>
    <row r="462" ht="15" customHeight="1" s="16">
      <c r="C462" s="15" t="n"/>
      <c r="I462" s="15" t="n"/>
    </row>
    <row r="463" ht="15" customHeight="1" s="16">
      <c r="C463" s="15" t="n"/>
      <c r="I463" s="15" t="n"/>
    </row>
    <row r="464" ht="15" customHeight="1" s="16">
      <c r="C464" s="15" t="n"/>
      <c r="I464" s="15" t="n"/>
    </row>
    <row r="465" ht="15" customHeight="1" s="16">
      <c r="C465" s="15" t="n"/>
      <c r="I465" s="15" t="n"/>
    </row>
    <row r="466" ht="15" customHeight="1" s="16">
      <c r="C466" s="15" t="n"/>
      <c r="I466" s="15" t="n"/>
    </row>
    <row r="467" ht="15" customHeight="1" s="16">
      <c r="C467" s="15" t="n"/>
      <c r="I467" s="15" t="n"/>
    </row>
    <row r="468" ht="15" customHeight="1" s="16">
      <c r="C468" s="15" t="n"/>
      <c r="I468" s="15" t="n"/>
    </row>
    <row r="469" ht="15" customHeight="1" s="16">
      <c r="C469" s="15" t="n"/>
      <c r="I469" s="15" t="n"/>
    </row>
    <row r="470" ht="15" customHeight="1" s="16">
      <c r="C470" s="15" t="n"/>
      <c r="I470" s="15" t="n"/>
    </row>
    <row r="471" ht="15" customHeight="1" s="16">
      <c r="C471" s="15" t="n"/>
      <c r="I471" s="15" t="n"/>
    </row>
    <row r="472" ht="15" customHeight="1" s="16">
      <c r="C472" s="15" t="n"/>
      <c r="I472" s="15" t="n"/>
    </row>
    <row r="473" ht="15" customHeight="1" s="16">
      <c r="C473" s="15" t="n"/>
      <c r="I473" s="15" t="n"/>
    </row>
    <row r="474" ht="15" customHeight="1" s="16">
      <c r="C474" s="15" t="n"/>
      <c r="I474" s="15" t="n"/>
    </row>
    <row r="475" ht="15" customHeight="1" s="16">
      <c r="C475" s="15" t="n"/>
      <c r="I475" s="15" t="n"/>
    </row>
    <row r="476" ht="15" customHeight="1" s="16">
      <c r="C476" s="15" t="n"/>
      <c r="I476" s="15" t="n"/>
    </row>
    <row r="477" ht="15" customHeight="1" s="16">
      <c r="C477" s="15" t="n"/>
      <c r="I477" s="15" t="n"/>
    </row>
    <row r="478" ht="15" customHeight="1" s="16">
      <c r="C478" s="15" t="n"/>
      <c r="I478" s="15" t="n"/>
    </row>
    <row r="479" ht="15" customHeight="1" s="16">
      <c r="C479" s="15" t="n"/>
      <c r="I479" s="15" t="n"/>
    </row>
    <row r="480" ht="15" customHeight="1" s="16">
      <c r="C480" s="15" t="n"/>
      <c r="I480" s="15" t="n"/>
    </row>
    <row r="481" ht="15" customHeight="1" s="16">
      <c r="C481" s="15" t="n"/>
      <c r="I481" s="15" t="n"/>
    </row>
    <row r="482" ht="15" customHeight="1" s="16">
      <c r="C482" s="15" t="n"/>
      <c r="I482" s="15" t="n"/>
    </row>
    <row r="483" ht="15" customHeight="1" s="16">
      <c r="C483" s="15" t="n"/>
      <c r="I483" s="15" t="n"/>
    </row>
    <row r="484" ht="15" customHeight="1" s="16">
      <c r="C484" s="15" t="n"/>
      <c r="I484" s="15" t="n"/>
    </row>
    <row r="485" ht="15" customHeight="1" s="16">
      <c r="C485" s="15" t="n"/>
      <c r="I485" s="15" t="n"/>
    </row>
    <row r="486" ht="15" customHeight="1" s="16">
      <c r="C486" s="15" t="n"/>
      <c r="I486" s="15" t="n"/>
    </row>
    <row r="487" ht="15" customHeight="1" s="16">
      <c r="C487" s="15" t="n"/>
      <c r="I487" s="15" t="n"/>
    </row>
    <row r="488" ht="15" customHeight="1" s="16">
      <c r="C488" s="15" t="n"/>
      <c r="I488" s="15" t="n"/>
    </row>
    <row r="489" ht="15" customHeight="1" s="16">
      <c r="C489" s="15" t="n"/>
      <c r="I489" s="15" t="n"/>
    </row>
    <row r="490" ht="15" customHeight="1" s="16">
      <c r="C490" s="15" t="n"/>
      <c r="I490" s="15" t="n"/>
    </row>
    <row r="491" ht="15" customHeight="1" s="16">
      <c r="C491" s="15" t="n"/>
      <c r="I491" s="15" t="n"/>
    </row>
    <row r="492" ht="15" customHeight="1" s="16">
      <c r="C492" s="15" t="n"/>
      <c r="I492" s="15" t="n"/>
    </row>
    <row r="493" ht="15" customHeight="1" s="16">
      <c r="C493" s="15" t="n"/>
      <c r="I493" s="15" t="n"/>
    </row>
    <row r="494" ht="15" customHeight="1" s="16">
      <c r="C494" s="15" t="n"/>
      <c r="I494" s="15" t="n"/>
    </row>
    <row r="495" ht="15" customHeight="1" s="16">
      <c r="C495" s="15" t="n"/>
      <c r="I495" s="15" t="n"/>
    </row>
    <row r="496" ht="15" customHeight="1" s="16">
      <c r="C496" s="15" t="n"/>
      <c r="I496" s="15" t="n"/>
    </row>
    <row r="497" ht="15" customHeight="1" s="16">
      <c r="C497" s="15" t="n"/>
      <c r="I497" s="15" t="n"/>
    </row>
    <row r="498" ht="15" customHeight="1" s="16">
      <c r="C498" s="15" t="n"/>
      <c r="I498" s="15" t="n"/>
    </row>
    <row r="499" ht="15" customHeight="1" s="16">
      <c r="C499" s="15" t="n"/>
      <c r="I499" s="15" t="n"/>
    </row>
    <row r="500" ht="15" customHeight="1" s="16">
      <c r="C500" s="15" t="n"/>
      <c r="I500" s="15" t="n"/>
    </row>
    <row r="501" ht="15" customHeight="1" s="16">
      <c r="C501" s="15" t="n"/>
      <c r="I501" s="15" t="n"/>
    </row>
    <row r="502" ht="15" customHeight="1" s="16">
      <c r="C502" s="15" t="n"/>
      <c r="I502" s="15" t="n"/>
    </row>
    <row r="503" ht="15" customHeight="1" s="16">
      <c r="C503" s="15" t="n"/>
      <c r="I503" s="15" t="n"/>
    </row>
    <row r="504" ht="15" customHeight="1" s="16">
      <c r="C504" s="15" t="n"/>
      <c r="I504" s="15" t="n"/>
    </row>
    <row r="505" ht="15" customHeight="1" s="16">
      <c r="C505" s="15" t="n"/>
      <c r="I505" s="15" t="n"/>
    </row>
    <row r="506" ht="15" customHeight="1" s="16">
      <c r="C506" s="15" t="n"/>
      <c r="I506" s="15" t="n"/>
    </row>
    <row r="507" ht="15" customHeight="1" s="16">
      <c r="C507" s="15" t="n"/>
      <c r="I507" s="15" t="n"/>
    </row>
    <row r="508" ht="15" customHeight="1" s="16">
      <c r="C508" s="15" t="n"/>
      <c r="I508" s="15" t="n"/>
    </row>
    <row r="509" ht="15" customHeight="1" s="16">
      <c r="C509" s="15" t="n"/>
      <c r="I509" s="15" t="n"/>
    </row>
    <row r="510" ht="15" customHeight="1" s="16">
      <c r="C510" s="15" t="n"/>
      <c r="I510" s="15" t="n"/>
    </row>
    <row r="511" ht="15" customHeight="1" s="16">
      <c r="C511" s="15" t="n"/>
      <c r="I511" s="15" t="n"/>
    </row>
    <row r="512" ht="15" customHeight="1" s="16">
      <c r="C512" s="15" t="n"/>
      <c r="I512" s="15" t="n"/>
    </row>
    <row r="513" ht="15" customHeight="1" s="16">
      <c r="C513" s="15" t="n"/>
      <c r="I513" s="15" t="n"/>
    </row>
    <row r="514" ht="15" customHeight="1" s="16">
      <c r="C514" s="15" t="n"/>
      <c r="I514" s="15" t="n"/>
    </row>
    <row r="515" ht="15" customHeight="1" s="16">
      <c r="C515" s="15" t="n"/>
      <c r="I515" s="15" t="n"/>
    </row>
    <row r="516" ht="15" customHeight="1" s="16">
      <c r="C516" s="15" t="n"/>
      <c r="I516" s="15" t="n"/>
    </row>
    <row r="517" ht="15" customHeight="1" s="16">
      <c r="C517" s="15" t="n"/>
      <c r="I517" s="15" t="n"/>
    </row>
    <row r="518" ht="15" customHeight="1" s="16">
      <c r="C518" s="15" t="n"/>
      <c r="I518" s="15" t="n"/>
    </row>
    <row r="519" ht="15" customHeight="1" s="16">
      <c r="C519" s="15" t="n"/>
      <c r="I519" s="15" t="n"/>
    </row>
    <row r="520" ht="15" customHeight="1" s="16">
      <c r="C520" s="15" t="n"/>
      <c r="I520" s="15" t="n"/>
    </row>
    <row r="521" ht="15" customHeight="1" s="16">
      <c r="C521" s="15" t="n"/>
      <c r="I521" s="15" t="n"/>
    </row>
    <row r="522" ht="15" customHeight="1" s="16">
      <c r="C522" s="15" t="n"/>
      <c r="I522" s="15" t="n"/>
    </row>
    <row r="523" ht="15" customHeight="1" s="16">
      <c r="C523" s="15" t="n"/>
      <c r="I523" s="15" t="n"/>
    </row>
    <row r="524" ht="15" customHeight="1" s="16">
      <c r="C524" s="15" t="n"/>
      <c r="I524" s="15" t="n"/>
    </row>
    <row r="525" ht="15" customHeight="1" s="16">
      <c r="C525" s="15" t="n"/>
      <c r="I525" s="15" t="n"/>
    </row>
    <row r="526" ht="15" customHeight="1" s="16">
      <c r="C526" s="15" t="n"/>
      <c r="I526" s="15" t="n"/>
    </row>
    <row r="527" ht="15" customHeight="1" s="16">
      <c r="C527" s="15" t="n"/>
      <c r="I527" s="15" t="n"/>
    </row>
    <row r="528" ht="15" customHeight="1" s="16">
      <c r="C528" s="15" t="n"/>
      <c r="I528" s="15" t="n"/>
    </row>
    <row r="529" ht="15" customHeight="1" s="16">
      <c r="C529" s="15" t="n"/>
      <c r="I529" s="15" t="n"/>
    </row>
    <row r="530" ht="15" customHeight="1" s="16">
      <c r="C530" s="15" t="n"/>
      <c r="I530" s="15" t="n"/>
    </row>
    <row r="531" ht="15" customHeight="1" s="16">
      <c r="C531" s="15" t="n"/>
      <c r="I531" s="15" t="n"/>
    </row>
    <row r="532" ht="15" customHeight="1" s="16">
      <c r="C532" s="15" t="n"/>
      <c r="I532" s="15" t="n"/>
    </row>
    <row r="533" ht="15" customHeight="1" s="16">
      <c r="C533" s="15" t="n"/>
      <c r="I533" s="15" t="n"/>
    </row>
    <row r="534" ht="15" customHeight="1" s="16">
      <c r="C534" s="15" t="n"/>
      <c r="I534" s="15" t="n"/>
    </row>
    <row r="535" ht="15" customHeight="1" s="16">
      <c r="C535" s="15" t="n"/>
      <c r="I535" s="15" t="n"/>
    </row>
    <row r="536" ht="15" customHeight="1" s="16">
      <c r="C536" s="15" t="n"/>
      <c r="I536" s="15" t="n"/>
    </row>
    <row r="537" ht="15" customHeight="1" s="16">
      <c r="C537" s="15" t="n"/>
      <c r="I537" s="15" t="n"/>
    </row>
    <row r="538" ht="15" customHeight="1" s="16">
      <c r="C538" s="15" t="n"/>
      <c r="I538" s="15" t="n"/>
    </row>
    <row r="539" ht="15" customHeight="1" s="16">
      <c r="C539" s="15" t="n"/>
      <c r="I539" s="15" t="n"/>
    </row>
    <row r="540" ht="15" customHeight="1" s="16">
      <c r="C540" s="15" t="n"/>
      <c r="I540" s="15" t="n"/>
    </row>
    <row r="541" ht="15" customHeight="1" s="16">
      <c r="C541" s="15" t="n"/>
      <c r="I541" s="15" t="n"/>
    </row>
    <row r="542" ht="15" customHeight="1" s="16">
      <c r="C542" s="15" t="n"/>
      <c r="I542" s="15" t="n"/>
    </row>
    <row r="543" ht="15" customHeight="1" s="16">
      <c r="C543" s="15" t="n"/>
      <c r="I543" s="15" t="n"/>
    </row>
    <row r="544" ht="15" customHeight="1" s="16">
      <c r="C544" s="15" t="n"/>
      <c r="I544" s="15" t="n"/>
    </row>
    <row r="545" ht="15" customHeight="1" s="16">
      <c r="C545" s="15" t="n"/>
      <c r="I545" s="15" t="n"/>
    </row>
    <row r="546" ht="15" customHeight="1" s="16">
      <c r="C546" s="15" t="n"/>
      <c r="I546" s="15" t="n"/>
    </row>
    <row r="547" ht="15" customHeight="1" s="16">
      <c r="C547" s="15" t="n"/>
      <c r="I547" s="15" t="n"/>
    </row>
    <row r="548" ht="15" customHeight="1" s="16">
      <c r="C548" s="15" t="n"/>
      <c r="I548" s="15" t="n"/>
    </row>
    <row r="549" ht="15" customHeight="1" s="16">
      <c r="C549" s="15" t="n"/>
      <c r="I549" s="15" t="n"/>
    </row>
    <row r="550" ht="15" customHeight="1" s="16">
      <c r="C550" s="15" t="n"/>
      <c r="I550" s="15" t="n"/>
    </row>
    <row r="551" ht="15" customHeight="1" s="16">
      <c r="C551" s="15" t="n"/>
      <c r="I551" s="15" t="n"/>
    </row>
    <row r="552" ht="15" customHeight="1" s="16">
      <c r="C552" s="15" t="n"/>
      <c r="I552" s="15" t="n"/>
    </row>
    <row r="553" ht="15" customHeight="1" s="16">
      <c r="C553" s="15" t="n"/>
      <c r="I553" s="15" t="n"/>
    </row>
    <row r="554" ht="15" customHeight="1" s="16">
      <c r="C554" s="15" t="n"/>
      <c r="I554" s="15" t="n"/>
    </row>
    <row r="555" ht="15" customHeight="1" s="16">
      <c r="C555" s="15" t="n"/>
      <c r="I555" s="15" t="n"/>
    </row>
    <row r="556" ht="15" customHeight="1" s="16">
      <c r="C556" s="15" t="n"/>
      <c r="I556" s="15" t="n"/>
    </row>
    <row r="557" ht="15" customHeight="1" s="16">
      <c r="C557" s="15" t="n"/>
      <c r="I557" s="15" t="n"/>
    </row>
    <row r="558" ht="15" customHeight="1" s="16">
      <c r="C558" s="15" t="n"/>
      <c r="I558" s="15" t="n"/>
    </row>
    <row r="559" ht="15" customHeight="1" s="16">
      <c r="C559" s="15" t="n"/>
      <c r="I559" s="15" t="n"/>
    </row>
    <row r="560" ht="15" customHeight="1" s="16">
      <c r="C560" s="15" t="n"/>
      <c r="I560" s="15" t="n"/>
    </row>
    <row r="561" ht="15" customHeight="1" s="16">
      <c r="C561" s="15" t="n"/>
      <c r="I561" s="15" t="n"/>
    </row>
    <row r="562" ht="15" customHeight="1" s="16">
      <c r="C562" s="15" t="n"/>
      <c r="I562" s="15" t="n"/>
    </row>
    <row r="563" ht="15" customHeight="1" s="16">
      <c r="C563" s="15" t="n"/>
      <c r="I563" s="15" t="n"/>
    </row>
    <row r="564" ht="15" customHeight="1" s="16">
      <c r="C564" s="15" t="n"/>
      <c r="I564" s="15" t="n"/>
    </row>
    <row r="565" ht="15" customHeight="1" s="16">
      <c r="C565" s="15" t="n"/>
      <c r="I565" s="15" t="n"/>
    </row>
    <row r="566" ht="15" customHeight="1" s="16">
      <c r="C566" s="15" t="n"/>
      <c r="I566" s="15" t="n"/>
    </row>
    <row r="567" ht="15" customHeight="1" s="16">
      <c r="C567" s="15" t="n"/>
      <c r="I567" s="15" t="n"/>
    </row>
    <row r="568" ht="15" customHeight="1" s="16">
      <c r="C568" s="15" t="n"/>
      <c r="I568" s="15" t="n"/>
    </row>
    <row r="569" ht="15" customHeight="1" s="16">
      <c r="C569" s="15" t="n"/>
      <c r="I569" s="15" t="n"/>
    </row>
    <row r="570" ht="15" customHeight="1" s="16">
      <c r="C570" s="15" t="n"/>
      <c r="I570" s="15" t="n"/>
    </row>
    <row r="571" ht="15" customHeight="1" s="16">
      <c r="C571" s="15" t="n"/>
      <c r="I571" s="15" t="n"/>
    </row>
    <row r="572" ht="15" customHeight="1" s="16">
      <c r="C572" s="15" t="n"/>
      <c r="I572" s="15" t="n"/>
    </row>
    <row r="573" ht="15" customHeight="1" s="16">
      <c r="C573" s="15" t="n"/>
      <c r="I573" s="15" t="n"/>
    </row>
    <row r="574" ht="15" customHeight="1" s="16">
      <c r="C574" s="15" t="n"/>
      <c r="I574" s="15" t="n"/>
    </row>
    <row r="575" ht="15" customHeight="1" s="16">
      <c r="C575" s="15" t="n"/>
      <c r="I575" s="15" t="n"/>
    </row>
    <row r="576" ht="15" customHeight="1" s="16">
      <c r="C576" s="15" t="n"/>
      <c r="I576" s="15" t="n"/>
    </row>
    <row r="577" ht="15" customHeight="1" s="16">
      <c r="C577" s="15" t="n"/>
      <c r="I577" s="15" t="n"/>
    </row>
    <row r="578" ht="15" customHeight="1" s="16">
      <c r="C578" s="15" t="n"/>
      <c r="I578" s="15" t="n"/>
    </row>
    <row r="579" ht="15" customHeight="1" s="16">
      <c r="C579" s="15" t="n"/>
      <c r="I579" s="15" t="n"/>
    </row>
    <row r="580" ht="15" customHeight="1" s="16">
      <c r="C580" s="15" t="n"/>
      <c r="I580" s="15" t="n"/>
    </row>
    <row r="581" ht="15" customHeight="1" s="16">
      <c r="C581" s="15" t="n"/>
      <c r="I581" s="15" t="n"/>
    </row>
    <row r="582" ht="15" customHeight="1" s="16">
      <c r="C582" s="15" t="n"/>
      <c r="I582" s="15" t="n"/>
    </row>
    <row r="583" ht="15" customHeight="1" s="16">
      <c r="C583" s="15" t="n"/>
      <c r="I583" s="15" t="n"/>
    </row>
    <row r="584" ht="15" customHeight="1" s="16">
      <c r="C584" s="15" t="n"/>
      <c r="I584" s="15" t="n"/>
    </row>
    <row r="585" ht="15" customHeight="1" s="16">
      <c r="C585" s="15" t="n"/>
      <c r="I585" s="15" t="n"/>
    </row>
    <row r="586" ht="15" customHeight="1" s="16">
      <c r="C586" s="15" t="n"/>
      <c r="I586" s="15" t="n"/>
    </row>
    <row r="587" ht="15" customHeight="1" s="16">
      <c r="C587" s="15" t="n"/>
      <c r="I587" s="15" t="n"/>
    </row>
    <row r="588" ht="15" customHeight="1" s="16">
      <c r="C588" s="15" t="n"/>
      <c r="I588" s="15" t="n"/>
    </row>
    <row r="589" ht="15" customHeight="1" s="16">
      <c r="C589" s="15" t="n"/>
      <c r="I589" s="15" t="n"/>
    </row>
    <row r="590" ht="15" customHeight="1" s="16">
      <c r="C590" s="15" t="n"/>
      <c r="I590" s="15" t="n"/>
    </row>
    <row r="591" ht="15" customHeight="1" s="16">
      <c r="C591" s="15" t="n"/>
      <c r="I591" s="15" t="n"/>
    </row>
    <row r="592" ht="15" customHeight="1" s="16">
      <c r="C592" s="15" t="n"/>
      <c r="I592" s="15" t="n"/>
    </row>
    <row r="593" ht="15" customHeight="1" s="16">
      <c r="C593" s="15" t="n"/>
      <c r="I593" s="15" t="n"/>
    </row>
    <row r="594" ht="15" customHeight="1" s="16">
      <c r="C594" s="15" t="n"/>
      <c r="I594" s="15" t="n"/>
    </row>
    <row r="595" ht="15" customHeight="1" s="16">
      <c r="C595" s="15" t="n"/>
      <c r="I595" s="15" t="n"/>
    </row>
    <row r="596" ht="15" customHeight="1" s="16">
      <c r="C596" s="15" t="n"/>
      <c r="I596" s="15" t="n"/>
    </row>
    <row r="597" ht="15" customHeight="1" s="16">
      <c r="C597" s="15" t="n"/>
      <c r="I597" s="15" t="n"/>
    </row>
    <row r="598" ht="15" customHeight="1" s="16">
      <c r="C598" s="15" t="n"/>
      <c r="I598" s="15" t="n"/>
    </row>
    <row r="599" ht="15" customHeight="1" s="16">
      <c r="C599" s="15" t="n"/>
      <c r="I599" s="15" t="n"/>
    </row>
    <row r="600" ht="15" customHeight="1" s="16">
      <c r="C600" s="15" t="n"/>
      <c r="I600" s="15" t="n"/>
    </row>
    <row r="601" ht="15" customHeight="1" s="16">
      <c r="C601" s="15" t="n"/>
      <c r="I601" s="15" t="n"/>
    </row>
    <row r="602" ht="15" customHeight="1" s="16">
      <c r="C602" s="15" t="n"/>
      <c r="I602" s="15" t="n"/>
    </row>
    <row r="603" ht="15" customHeight="1" s="16">
      <c r="C603" s="15" t="n"/>
      <c r="I603" s="15" t="n"/>
    </row>
    <row r="604" ht="15" customHeight="1" s="16">
      <c r="C604" s="15" t="n"/>
      <c r="I604" s="15" t="n"/>
    </row>
    <row r="605" ht="15" customHeight="1" s="16">
      <c r="C605" s="15" t="n"/>
      <c r="I605" s="15" t="n"/>
    </row>
    <row r="606" ht="15" customHeight="1" s="16">
      <c r="C606" s="15" t="n"/>
      <c r="I606" s="15" t="n"/>
    </row>
    <row r="607" ht="15" customHeight="1" s="16">
      <c r="C607" s="15" t="n"/>
      <c r="I607" s="15" t="n"/>
    </row>
    <row r="608" ht="15" customHeight="1" s="16">
      <c r="C608" s="15" t="n"/>
      <c r="I608" s="15" t="n"/>
    </row>
    <row r="609" ht="15" customHeight="1" s="16">
      <c r="C609" s="15" t="n"/>
      <c r="I609" s="15" t="n"/>
    </row>
    <row r="610" ht="15" customHeight="1" s="16">
      <c r="C610" s="15" t="n"/>
      <c r="I610" s="15" t="n"/>
    </row>
    <row r="611" ht="15" customHeight="1" s="16">
      <c r="C611" s="15" t="n"/>
      <c r="I611" s="15" t="n"/>
    </row>
    <row r="612" ht="15" customHeight="1" s="16">
      <c r="C612" s="15" t="n"/>
      <c r="I612" s="15" t="n"/>
    </row>
    <row r="613" ht="15" customHeight="1" s="16">
      <c r="C613" s="15" t="n"/>
      <c r="I613" s="15" t="n"/>
    </row>
    <row r="614" ht="15" customHeight="1" s="16">
      <c r="C614" s="15" t="n"/>
      <c r="I614" s="15" t="n"/>
    </row>
    <row r="615" ht="15" customHeight="1" s="16">
      <c r="C615" s="15" t="n"/>
      <c r="I615" s="15" t="n"/>
    </row>
    <row r="616" ht="15" customHeight="1" s="16">
      <c r="C616" s="15" t="n"/>
      <c r="I616" s="15" t="n"/>
    </row>
    <row r="617" ht="15" customHeight="1" s="16">
      <c r="C617" s="15" t="n"/>
      <c r="I617" s="15" t="n"/>
    </row>
    <row r="618" ht="15" customHeight="1" s="16">
      <c r="C618" s="15" t="n"/>
      <c r="I618" s="15" t="n"/>
    </row>
    <row r="619" ht="15" customHeight="1" s="16">
      <c r="C619" s="15" t="n"/>
      <c r="I619" s="15" t="n"/>
    </row>
    <row r="620" ht="15" customHeight="1" s="16">
      <c r="C620" s="15" t="n"/>
      <c r="I620" s="15" t="n"/>
    </row>
    <row r="621" ht="15" customHeight="1" s="16">
      <c r="C621" s="15" t="n"/>
      <c r="I621" s="15" t="n"/>
    </row>
    <row r="622" ht="15" customHeight="1" s="16">
      <c r="C622" s="15" t="n"/>
      <c r="I622" s="15" t="n"/>
    </row>
    <row r="623" ht="15" customHeight="1" s="16">
      <c r="C623" s="15" t="n"/>
      <c r="I623" s="15" t="n"/>
    </row>
    <row r="624" ht="15" customHeight="1" s="16">
      <c r="C624" s="15" t="n"/>
      <c r="I624" s="15" t="n"/>
    </row>
    <row r="625" ht="15" customHeight="1" s="16">
      <c r="C625" s="15" t="n"/>
      <c r="I625" s="15" t="n"/>
    </row>
    <row r="626" ht="15" customHeight="1" s="16">
      <c r="C626" s="15" t="n"/>
      <c r="I626" s="15" t="n"/>
    </row>
    <row r="627" ht="15" customHeight="1" s="16">
      <c r="C627" s="15" t="n"/>
      <c r="I627" s="15" t="n"/>
    </row>
    <row r="628" ht="15" customHeight="1" s="16">
      <c r="C628" s="15" t="n"/>
      <c r="I628" s="15" t="n"/>
    </row>
    <row r="629" ht="15" customHeight="1" s="16">
      <c r="C629" s="15" t="n"/>
      <c r="I629" s="15" t="n"/>
    </row>
    <row r="630" ht="15" customHeight="1" s="16">
      <c r="C630" s="15" t="n"/>
      <c r="I630" s="15" t="n"/>
    </row>
    <row r="631" ht="15" customHeight="1" s="16">
      <c r="C631" s="15" t="n"/>
      <c r="I631" s="15" t="n"/>
    </row>
    <row r="632" ht="15" customHeight="1" s="16">
      <c r="C632" s="15" t="n"/>
      <c r="I632" s="15" t="n"/>
    </row>
    <row r="633" ht="15" customHeight="1" s="16">
      <c r="C633" s="15" t="n"/>
      <c r="I633" s="15" t="n"/>
    </row>
    <row r="634" ht="15" customHeight="1" s="16">
      <c r="C634" s="15" t="n"/>
      <c r="I634" s="15" t="n"/>
    </row>
    <row r="635" ht="15" customHeight="1" s="16">
      <c r="C635" s="15" t="n"/>
      <c r="I635" s="15" t="n"/>
    </row>
    <row r="636" ht="15" customHeight="1" s="16">
      <c r="C636" s="15" t="n"/>
      <c r="I636" s="15" t="n"/>
    </row>
    <row r="637" ht="15" customHeight="1" s="16">
      <c r="C637" s="15" t="n"/>
      <c r="I637" s="15" t="n"/>
    </row>
    <row r="638" ht="15" customHeight="1" s="16">
      <c r="C638" s="15" t="n"/>
      <c r="I638" s="15" t="n"/>
    </row>
    <row r="639" ht="15" customHeight="1" s="16">
      <c r="C639" s="15" t="n"/>
      <c r="I639" s="15" t="n"/>
    </row>
    <row r="640" ht="15" customHeight="1" s="16">
      <c r="C640" s="15" t="n"/>
      <c r="I640" s="15" t="n"/>
    </row>
    <row r="641" ht="15" customHeight="1" s="16">
      <c r="C641" s="15" t="n"/>
      <c r="I641" s="15" t="n"/>
    </row>
    <row r="642" ht="15" customHeight="1" s="16">
      <c r="C642" s="15" t="n"/>
      <c r="I642" s="15" t="n"/>
    </row>
    <row r="643" ht="15" customHeight="1" s="16">
      <c r="C643" s="15" t="n"/>
      <c r="I643" s="15" t="n"/>
    </row>
    <row r="644" ht="15" customHeight="1" s="16">
      <c r="C644" s="15" t="n"/>
      <c r="I644" s="15" t="n"/>
    </row>
    <row r="645" ht="15" customHeight="1" s="16">
      <c r="C645" s="15" t="n"/>
      <c r="I645" s="15" t="n"/>
    </row>
    <row r="646" ht="15" customHeight="1" s="16">
      <c r="C646" s="15" t="n"/>
      <c r="I646" s="15" t="n"/>
    </row>
    <row r="647" ht="15" customHeight="1" s="16">
      <c r="C647" s="15" t="n"/>
      <c r="I647" s="15" t="n"/>
    </row>
    <row r="648" ht="15" customHeight="1" s="16">
      <c r="C648" s="15" t="n"/>
      <c r="I648" s="15" t="n"/>
    </row>
    <row r="649" ht="15" customHeight="1" s="16">
      <c r="C649" s="15" t="n"/>
      <c r="I649" s="15" t="n"/>
    </row>
    <row r="650" ht="15" customHeight="1" s="16">
      <c r="C650" s="15" t="n"/>
      <c r="I650" s="15" t="n"/>
    </row>
    <row r="651" ht="15" customHeight="1" s="16">
      <c r="C651" s="15" t="n"/>
      <c r="I651" s="15" t="n"/>
    </row>
    <row r="652" ht="15" customHeight="1" s="16">
      <c r="C652" s="15" t="n"/>
      <c r="I652" s="15" t="n"/>
    </row>
    <row r="653" ht="15" customHeight="1" s="16">
      <c r="C653" s="15" t="n"/>
      <c r="I653" s="15" t="n"/>
    </row>
    <row r="654" ht="15" customHeight="1" s="16">
      <c r="C654" s="15" t="n"/>
      <c r="I654" s="15" t="n"/>
    </row>
    <row r="655" ht="15" customHeight="1" s="16">
      <c r="C655" s="15" t="n"/>
      <c r="I655" s="15" t="n"/>
    </row>
    <row r="656" ht="15" customHeight="1" s="16">
      <c r="C656" s="15" t="n"/>
      <c r="I656" s="15" t="n"/>
    </row>
    <row r="657" ht="15" customHeight="1" s="16">
      <c r="C657" s="15" t="n"/>
      <c r="I657" s="15" t="n"/>
    </row>
    <row r="658" ht="15" customHeight="1" s="16">
      <c r="C658" s="15" t="n"/>
      <c r="I658" s="15" t="n"/>
    </row>
    <row r="659" ht="15" customHeight="1" s="16">
      <c r="C659" s="15" t="n"/>
      <c r="I659" s="15" t="n"/>
    </row>
    <row r="660" ht="15" customHeight="1" s="16">
      <c r="C660" s="15" t="n"/>
      <c r="I660" s="15" t="n"/>
    </row>
    <row r="661" ht="15" customHeight="1" s="16">
      <c r="C661" s="15" t="n"/>
      <c r="I661" s="15" t="n"/>
    </row>
    <row r="662" ht="15" customHeight="1" s="16">
      <c r="C662" s="15" t="n"/>
      <c r="I662" s="15" t="n"/>
    </row>
    <row r="663" ht="15" customHeight="1" s="16">
      <c r="C663" s="15" t="n"/>
      <c r="I663" s="15" t="n"/>
    </row>
    <row r="664" ht="15" customHeight="1" s="16">
      <c r="C664" s="15" t="n"/>
      <c r="I664" s="15" t="n"/>
    </row>
    <row r="665" ht="15" customHeight="1" s="16">
      <c r="C665" s="15" t="n"/>
      <c r="I665" s="15" t="n"/>
    </row>
    <row r="666" ht="15" customHeight="1" s="16">
      <c r="C666" s="15" t="n"/>
      <c r="I666" s="15" t="n"/>
    </row>
    <row r="667" ht="15" customHeight="1" s="16">
      <c r="C667" s="15" t="n"/>
      <c r="I667" s="15" t="n"/>
    </row>
    <row r="668" ht="15" customHeight="1" s="16">
      <c r="C668" s="15" t="n"/>
      <c r="I668" s="15" t="n"/>
    </row>
    <row r="669" ht="15" customHeight="1" s="16">
      <c r="C669" s="15" t="n"/>
      <c r="I669" s="15" t="n"/>
    </row>
    <row r="670" ht="15" customHeight="1" s="16">
      <c r="C670" s="15" t="n"/>
      <c r="I670" s="15" t="n"/>
    </row>
    <row r="671" ht="15" customHeight="1" s="16">
      <c r="C671" s="15" t="n"/>
      <c r="I671" s="15" t="n"/>
    </row>
    <row r="672" ht="15" customHeight="1" s="16">
      <c r="C672" s="15" t="n"/>
      <c r="I672" s="15" t="n"/>
    </row>
    <row r="673" ht="15" customHeight="1" s="16">
      <c r="C673" s="15" t="n"/>
      <c r="I673" s="15" t="n"/>
    </row>
    <row r="674" ht="15" customHeight="1" s="16">
      <c r="C674" s="15" t="n"/>
      <c r="I674" s="15" t="n"/>
    </row>
    <row r="675" ht="15" customHeight="1" s="16">
      <c r="C675" s="15" t="n"/>
      <c r="I675" s="15" t="n"/>
    </row>
    <row r="676" ht="15" customHeight="1" s="16">
      <c r="C676" s="15" t="n"/>
      <c r="I676" s="15" t="n"/>
    </row>
    <row r="677" ht="15" customHeight="1" s="16">
      <c r="C677" s="15" t="n"/>
      <c r="I677" s="15" t="n"/>
    </row>
    <row r="678" ht="15" customHeight="1" s="16">
      <c r="C678" s="15" t="n"/>
      <c r="I678" s="15" t="n"/>
    </row>
    <row r="679" ht="15" customHeight="1" s="16">
      <c r="C679" s="15" t="n"/>
      <c r="I679" s="15" t="n"/>
    </row>
    <row r="680" ht="15" customHeight="1" s="16">
      <c r="C680" s="15" t="n"/>
      <c r="I680" s="15" t="n"/>
    </row>
    <row r="681" ht="15" customHeight="1" s="16">
      <c r="C681" s="15" t="n"/>
      <c r="I681" s="15" t="n"/>
    </row>
    <row r="682" ht="15" customHeight="1" s="16">
      <c r="C682" s="15" t="n"/>
      <c r="I682" s="15" t="n"/>
    </row>
    <row r="683" ht="15" customHeight="1" s="16">
      <c r="C683" s="15" t="n"/>
      <c r="I683" s="15" t="n"/>
    </row>
    <row r="684" ht="15" customHeight="1" s="16">
      <c r="C684" s="15" t="n"/>
      <c r="I684" s="15" t="n"/>
    </row>
    <row r="685" ht="15" customHeight="1" s="16">
      <c r="C685" s="15" t="n"/>
      <c r="I685" s="15" t="n"/>
    </row>
    <row r="686" ht="15" customHeight="1" s="16">
      <c r="C686" s="15" t="n"/>
      <c r="I686" s="15" t="n"/>
    </row>
    <row r="687" ht="15" customHeight="1" s="16">
      <c r="C687" s="15" t="n"/>
      <c r="I687" s="15" t="n"/>
    </row>
    <row r="688" ht="15" customHeight="1" s="16">
      <c r="C688" s="15" t="n"/>
      <c r="I688" s="15" t="n"/>
    </row>
    <row r="689" ht="15" customHeight="1" s="16">
      <c r="C689" s="15" t="n"/>
      <c r="I689" s="15" t="n"/>
    </row>
    <row r="690" ht="15" customHeight="1" s="16">
      <c r="C690" s="15" t="n"/>
      <c r="I690" s="15" t="n"/>
    </row>
    <row r="691" ht="15" customHeight="1" s="16">
      <c r="C691" s="15" t="n"/>
      <c r="I691" s="15" t="n"/>
    </row>
    <row r="692" ht="15" customHeight="1" s="16">
      <c r="C692" s="15" t="n"/>
      <c r="I692" s="15" t="n"/>
    </row>
    <row r="693" ht="15" customHeight="1" s="16">
      <c r="C693" s="15" t="n"/>
      <c r="I693" s="15" t="n"/>
    </row>
    <row r="694" ht="15" customHeight="1" s="16">
      <c r="C694" s="15" t="n"/>
      <c r="I694" s="15" t="n"/>
    </row>
    <row r="695" ht="15" customHeight="1" s="16">
      <c r="C695" s="15" t="n"/>
      <c r="I695" s="15" t="n"/>
    </row>
    <row r="696" ht="15" customHeight="1" s="16">
      <c r="C696" s="15" t="n"/>
      <c r="I696" s="15" t="n"/>
    </row>
    <row r="697" ht="15" customHeight="1" s="16">
      <c r="C697" s="15" t="n"/>
      <c r="I697" s="15" t="n"/>
    </row>
    <row r="698" ht="15" customHeight="1" s="16">
      <c r="C698" s="15" t="n"/>
      <c r="I698" s="15" t="n"/>
    </row>
    <row r="699" ht="15" customHeight="1" s="16">
      <c r="C699" s="15" t="n"/>
      <c r="I699" s="15" t="n"/>
    </row>
    <row r="700" ht="15" customHeight="1" s="16">
      <c r="C700" s="15" t="n"/>
      <c r="I700" s="15" t="n"/>
    </row>
    <row r="701" ht="15" customHeight="1" s="16">
      <c r="C701" s="15" t="n"/>
      <c r="I701" s="15" t="n"/>
    </row>
    <row r="702" ht="15" customHeight="1" s="16">
      <c r="C702" s="15" t="n"/>
      <c r="I702" s="15" t="n"/>
    </row>
    <row r="703" ht="15" customHeight="1" s="16">
      <c r="C703" s="15" t="n"/>
      <c r="I703" s="15" t="n"/>
    </row>
    <row r="704" ht="15" customHeight="1" s="16">
      <c r="C704" s="15" t="n"/>
      <c r="I704" s="15" t="n"/>
    </row>
    <row r="705" ht="15" customHeight="1" s="16">
      <c r="C705" s="15" t="n"/>
      <c r="I705" s="15" t="n"/>
    </row>
    <row r="706" ht="15" customHeight="1" s="16">
      <c r="C706" s="15" t="n"/>
      <c r="I706" s="15" t="n"/>
    </row>
    <row r="707" ht="15" customHeight="1" s="16">
      <c r="C707" s="15" t="n"/>
      <c r="I707" s="15" t="n"/>
    </row>
    <row r="708" ht="15" customHeight="1" s="16">
      <c r="C708" s="15" t="n"/>
      <c r="I708" s="15" t="n"/>
    </row>
    <row r="709" ht="15" customHeight="1" s="16">
      <c r="C709" s="15" t="n"/>
      <c r="I709" s="15" t="n"/>
    </row>
    <row r="710" ht="15" customHeight="1" s="16">
      <c r="C710" s="15" t="n"/>
      <c r="I710" s="15" t="n"/>
    </row>
    <row r="711" ht="15" customHeight="1" s="16">
      <c r="C711" s="15" t="n"/>
      <c r="I711" s="15" t="n"/>
    </row>
    <row r="712" ht="15" customHeight="1" s="16">
      <c r="C712" s="15" t="n"/>
      <c r="I712" s="15" t="n"/>
    </row>
    <row r="713" ht="15" customHeight="1" s="16">
      <c r="C713" s="15" t="n"/>
      <c r="I713" s="15" t="n"/>
    </row>
    <row r="714" ht="15" customHeight="1" s="16">
      <c r="C714" s="15" t="n"/>
      <c r="I714" s="15" t="n"/>
    </row>
    <row r="715" ht="15" customHeight="1" s="16">
      <c r="C715" s="15" t="n"/>
      <c r="I715" s="15" t="n"/>
    </row>
    <row r="716" ht="15" customHeight="1" s="16">
      <c r="C716" s="15" t="n"/>
      <c r="I716" s="15" t="n"/>
    </row>
    <row r="717" ht="15" customHeight="1" s="16">
      <c r="C717" s="15" t="n"/>
      <c r="I717" s="15" t="n"/>
    </row>
    <row r="718" ht="15" customHeight="1" s="16">
      <c r="C718" s="15" t="n"/>
      <c r="I718" s="15" t="n"/>
    </row>
    <row r="719" ht="15" customHeight="1" s="16">
      <c r="C719" s="15" t="n"/>
      <c r="I719" s="15" t="n"/>
    </row>
    <row r="720" ht="15" customHeight="1" s="16">
      <c r="C720" s="15" t="n"/>
      <c r="I720" s="15" t="n"/>
    </row>
    <row r="721" ht="15" customHeight="1" s="16">
      <c r="C721" s="15" t="n"/>
      <c r="I721" s="15" t="n"/>
    </row>
    <row r="722" ht="15" customHeight="1" s="16">
      <c r="C722" s="15" t="n"/>
      <c r="I722" s="15" t="n"/>
    </row>
    <row r="723" ht="15" customHeight="1" s="16">
      <c r="C723" s="15" t="n"/>
      <c r="I723" s="15" t="n"/>
    </row>
    <row r="724" ht="15" customHeight="1" s="16">
      <c r="C724" s="15" t="n"/>
      <c r="I724" s="15" t="n"/>
    </row>
    <row r="725" ht="15" customHeight="1" s="16">
      <c r="C725" s="15" t="n"/>
      <c r="I725" s="15" t="n"/>
    </row>
    <row r="726" ht="15" customHeight="1" s="16">
      <c r="C726" s="15" t="n"/>
      <c r="I726" s="15" t="n"/>
    </row>
    <row r="727" ht="15" customHeight="1" s="16">
      <c r="C727" s="15" t="n"/>
      <c r="I727" s="15" t="n"/>
    </row>
    <row r="728" ht="15" customHeight="1" s="16">
      <c r="C728" s="15" t="n"/>
      <c r="I728" s="15" t="n"/>
    </row>
    <row r="729" ht="15" customHeight="1" s="16">
      <c r="C729" s="15" t="n"/>
      <c r="I729" s="15" t="n"/>
    </row>
    <row r="730" ht="15" customHeight="1" s="16">
      <c r="C730" s="15" t="n"/>
      <c r="I730" s="15" t="n"/>
    </row>
    <row r="731" ht="15" customHeight="1" s="16">
      <c r="C731" s="15" t="n"/>
      <c r="I731" s="15" t="n"/>
    </row>
    <row r="732" ht="15" customHeight="1" s="16">
      <c r="C732" s="15" t="n"/>
      <c r="I732" s="15" t="n"/>
    </row>
    <row r="733" ht="15" customHeight="1" s="16">
      <c r="C733" s="15" t="n"/>
      <c r="I733" s="15" t="n"/>
    </row>
    <row r="734" ht="15" customHeight="1" s="16">
      <c r="C734" s="15" t="n"/>
      <c r="I734" s="15" t="n"/>
    </row>
    <row r="735" ht="15" customHeight="1" s="16">
      <c r="C735" s="15" t="n"/>
      <c r="I735" s="15" t="n"/>
    </row>
    <row r="736" ht="15" customHeight="1" s="16">
      <c r="C736" s="15" t="n"/>
      <c r="I736" s="15" t="n"/>
    </row>
    <row r="737" ht="15" customHeight="1" s="16">
      <c r="C737" s="15" t="n"/>
      <c r="I737" s="15" t="n"/>
    </row>
    <row r="738" ht="15" customHeight="1" s="16">
      <c r="C738" s="15" t="n"/>
      <c r="I738" s="15" t="n"/>
    </row>
    <row r="739" ht="15" customHeight="1" s="16">
      <c r="C739" s="15" t="n"/>
      <c r="I739" s="15" t="n"/>
    </row>
    <row r="740" ht="15" customHeight="1" s="16">
      <c r="C740" s="15" t="n"/>
      <c r="I740" s="15" t="n"/>
    </row>
    <row r="741" ht="15" customHeight="1" s="16">
      <c r="C741" s="15" t="n"/>
      <c r="I741" s="15" t="n"/>
    </row>
    <row r="742" ht="15" customHeight="1" s="16">
      <c r="C742" s="15" t="n"/>
      <c r="I742" s="15" t="n"/>
    </row>
    <row r="743" ht="15" customHeight="1" s="16">
      <c r="C743" s="15" t="n"/>
      <c r="I743" s="15" t="n"/>
    </row>
    <row r="744" ht="15" customHeight="1" s="16">
      <c r="C744" s="15" t="n"/>
      <c r="I744" s="15" t="n"/>
    </row>
    <row r="745" ht="15" customHeight="1" s="16">
      <c r="C745" s="15" t="n"/>
      <c r="I745" s="15" t="n"/>
    </row>
    <row r="746" ht="15" customHeight="1" s="16">
      <c r="C746" s="15" t="n"/>
      <c r="I746" s="15" t="n"/>
    </row>
    <row r="747" ht="15" customHeight="1" s="16">
      <c r="C747" s="15" t="n"/>
      <c r="I747" s="15" t="n"/>
    </row>
    <row r="748" ht="15" customHeight="1" s="16">
      <c r="C748" s="15" t="n"/>
      <c r="I748" s="15" t="n"/>
    </row>
    <row r="749" ht="15" customHeight="1" s="16">
      <c r="C749" s="15" t="n"/>
      <c r="I749" s="15" t="n"/>
    </row>
    <row r="750" ht="15" customHeight="1" s="16">
      <c r="C750" s="15" t="n"/>
      <c r="I750" s="15" t="n"/>
    </row>
    <row r="751" ht="15" customHeight="1" s="16">
      <c r="C751" s="15" t="n"/>
      <c r="I751" s="15" t="n"/>
    </row>
    <row r="752" ht="15" customHeight="1" s="16">
      <c r="C752" s="15" t="n"/>
      <c r="I752" s="15" t="n"/>
    </row>
    <row r="753" ht="15" customHeight="1" s="16">
      <c r="C753" s="15" t="n"/>
      <c r="I753" s="15" t="n"/>
    </row>
    <row r="754" ht="15" customHeight="1" s="16">
      <c r="C754" s="15" t="n"/>
      <c r="I754" s="15" t="n"/>
    </row>
    <row r="755" ht="15" customHeight="1" s="16">
      <c r="C755" s="15" t="n"/>
      <c r="I755" s="15" t="n"/>
    </row>
    <row r="756" ht="15" customHeight="1" s="16">
      <c r="C756" s="15" t="n"/>
      <c r="I756" s="15" t="n"/>
    </row>
    <row r="757" ht="15" customHeight="1" s="16">
      <c r="C757" s="15" t="n"/>
      <c r="I757" s="15" t="n"/>
    </row>
    <row r="758" ht="15" customHeight="1" s="16">
      <c r="C758" s="15" t="n"/>
      <c r="I758" s="15" t="n"/>
    </row>
    <row r="759" ht="15" customHeight="1" s="16">
      <c r="C759" s="15" t="n"/>
      <c r="I759" s="15" t="n"/>
    </row>
    <row r="760" ht="15" customHeight="1" s="16">
      <c r="C760" s="15" t="n"/>
      <c r="I760" s="15" t="n"/>
    </row>
    <row r="761" ht="15" customHeight="1" s="16">
      <c r="C761" s="15" t="n"/>
      <c r="I761" s="15" t="n"/>
    </row>
    <row r="762" ht="15" customHeight="1" s="16">
      <c r="C762" s="15" t="n"/>
      <c r="I762" s="15" t="n"/>
    </row>
    <row r="763" ht="15" customHeight="1" s="16">
      <c r="C763" s="15" t="n"/>
      <c r="I763" s="15" t="n"/>
    </row>
    <row r="764" ht="15" customHeight="1" s="16">
      <c r="C764" s="15" t="n"/>
      <c r="I764" s="15" t="n"/>
    </row>
    <row r="765" ht="15" customHeight="1" s="16">
      <c r="C765" s="15" t="n"/>
      <c r="I765" s="15" t="n"/>
    </row>
    <row r="766" ht="15" customHeight="1" s="16">
      <c r="C766" s="15" t="n"/>
      <c r="I766" s="15" t="n"/>
    </row>
    <row r="767" ht="15" customHeight="1" s="16">
      <c r="C767" s="15" t="n"/>
      <c r="I767" s="15" t="n"/>
    </row>
    <row r="768" ht="15" customHeight="1" s="16">
      <c r="C768" s="15" t="n"/>
      <c r="I768" s="15" t="n"/>
    </row>
    <row r="769" ht="15" customHeight="1" s="16">
      <c r="C769" s="15" t="n"/>
      <c r="I769" s="15" t="n"/>
    </row>
    <row r="770" ht="15" customHeight="1" s="16">
      <c r="C770" s="15" t="n"/>
      <c r="I770" s="15" t="n"/>
    </row>
    <row r="771" ht="15" customHeight="1" s="16">
      <c r="C771" s="15" t="n"/>
      <c r="I771" s="15" t="n"/>
    </row>
    <row r="772" ht="15" customHeight="1" s="16">
      <c r="C772" s="15" t="n"/>
      <c r="I772" s="15" t="n"/>
    </row>
    <row r="773" ht="15" customHeight="1" s="16">
      <c r="C773" s="15" t="n"/>
      <c r="I773" s="15" t="n"/>
    </row>
    <row r="774" ht="15" customHeight="1" s="16">
      <c r="C774" s="15" t="n"/>
      <c r="I774" s="15" t="n"/>
    </row>
    <row r="775" ht="15" customHeight="1" s="16">
      <c r="C775" s="15" t="n"/>
      <c r="I775" s="15" t="n"/>
    </row>
    <row r="776" ht="15" customHeight="1" s="16">
      <c r="C776" s="15" t="n"/>
      <c r="I776" s="15" t="n"/>
    </row>
    <row r="777" ht="15" customHeight="1" s="16">
      <c r="C777" s="15" t="n"/>
      <c r="I777" s="15" t="n"/>
    </row>
    <row r="778" ht="15" customHeight="1" s="16">
      <c r="C778" s="15" t="n"/>
      <c r="I778" s="15" t="n"/>
    </row>
    <row r="779" ht="15" customHeight="1" s="16">
      <c r="C779" s="15" t="n"/>
      <c r="I779" s="15" t="n"/>
    </row>
    <row r="780" ht="15" customHeight="1" s="16">
      <c r="C780" s="15" t="n"/>
      <c r="I780" s="15" t="n"/>
    </row>
    <row r="781" ht="15" customHeight="1" s="16">
      <c r="C781" s="15" t="n"/>
      <c r="I781" s="15" t="n"/>
    </row>
    <row r="782" ht="15" customHeight="1" s="16">
      <c r="C782" s="15" t="n"/>
      <c r="I782" s="15" t="n"/>
    </row>
    <row r="783" ht="15" customHeight="1" s="16">
      <c r="C783" s="15" t="n"/>
      <c r="I783" s="15" t="n"/>
    </row>
    <row r="784" ht="15" customHeight="1" s="16">
      <c r="C784" s="15" t="n"/>
      <c r="I784" s="15" t="n"/>
    </row>
    <row r="785" ht="15" customHeight="1" s="16">
      <c r="C785" s="15" t="n"/>
      <c r="I785" s="15" t="n"/>
    </row>
    <row r="786" ht="15" customHeight="1" s="16">
      <c r="C786" s="15" t="n"/>
      <c r="I786" s="15" t="n"/>
    </row>
    <row r="787" ht="15" customHeight="1" s="16">
      <c r="C787" s="15" t="n"/>
      <c r="I787" s="15" t="n"/>
    </row>
    <row r="788" ht="15" customHeight="1" s="16">
      <c r="C788" s="15" t="n"/>
      <c r="I788" s="15" t="n"/>
    </row>
    <row r="789" ht="15" customHeight="1" s="16">
      <c r="C789" s="15" t="n"/>
      <c r="I789" s="15" t="n"/>
    </row>
    <row r="790" ht="15" customHeight="1" s="16">
      <c r="C790" s="15" t="n"/>
      <c r="I790" s="15" t="n"/>
    </row>
    <row r="791" ht="15" customHeight="1" s="16">
      <c r="C791" s="15" t="n"/>
      <c r="I791" s="15" t="n"/>
    </row>
    <row r="792" ht="15" customHeight="1" s="16">
      <c r="C792" s="15" t="n"/>
      <c r="I792" s="15" t="n"/>
    </row>
    <row r="793" ht="15" customHeight="1" s="16">
      <c r="C793" s="15" t="n"/>
      <c r="I793" s="15" t="n"/>
    </row>
    <row r="794" ht="15" customHeight="1" s="16">
      <c r="C794" s="15" t="n"/>
      <c r="I794" s="15" t="n"/>
    </row>
    <row r="795" ht="15" customHeight="1" s="16">
      <c r="C795" s="15" t="n"/>
      <c r="I795" s="15" t="n"/>
    </row>
    <row r="796" ht="15" customHeight="1" s="16">
      <c r="C796" s="15" t="n"/>
      <c r="I796" s="15" t="n"/>
    </row>
    <row r="797" ht="15" customHeight="1" s="16">
      <c r="C797" s="15" t="n"/>
      <c r="I797" s="15" t="n"/>
    </row>
    <row r="798" ht="15" customHeight="1" s="16">
      <c r="C798" s="15" t="n"/>
      <c r="I798" s="15" t="n"/>
    </row>
    <row r="799" ht="15" customHeight="1" s="16">
      <c r="C799" s="15" t="n"/>
      <c r="I799" s="15" t="n"/>
    </row>
    <row r="800" ht="15" customHeight="1" s="16">
      <c r="C800" s="15" t="n"/>
      <c r="I800" s="15" t="n"/>
    </row>
    <row r="801" ht="15" customHeight="1" s="16">
      <c r="C801" s="15" t="n"/>
      <c r="I801" s="15" t="n"/>
    </row>
    <row r="802" ht="15" customHeight="1" s="16">
      <c r="C802" s="15" t="n"/>
      <c r="I802" s="15" t="n"/>
    </row>
    <row r="803" ht="15" customHeight="1" s="16">
      <c r="C803" s="15" t="n"/>
      <c r="I803" s="15" t="n"/>
    </row>
    <row r="804" ht="15" customHeight="1" s="16">
      <c r="C804" s="15" t="n"/>
      <c r="I804" s="15" t="n"/>
    </row>
    <row r="805" ht="15" customHeight="1" s="16">
      <c r="C805" s="15" t="n"/>
      <c r="I805" s="15" t="n"/>
    </row>
    <row r="806" ht="15" customHeight="1" s="16">
      <c r="C806" s="15" t="n"/>
      <c r="I806" s="15" t="n"/>
    </row>
    <row r="807" ht="15" customHeight="1" s="16">
      <c r="C807" s="15" t="n"/>
      <c r="I807" s="15" t="n"/>
    </row>
    <row r="808" ht="15" customHeight="1" s="16">
      <c r="C808" s="15" t="n"/>
      <c r="I808" s="15" t="n"/>
    </row>
    <row r="809" ht="15" customHeight="1" s="16">
      <c r="C809" s="15" t="n"/>
      <c r="I809" s="15" t="n"/>
    </row>
    <row r="810" ht="15" customHeight="1" s="16">
      <c r="C810" s="15" t="n"/>
      <c r="I810" s="15" t="n"/>
    </row>
    <row r="811" ht="15" customHeight="1" s="16">
      <c r="C811" s="15" t="n"/>
      <c r="I811" s="15" t="n"/>
    </row>
    <row r="812" ht="15" customHeight="1" s="16">
      <c r="C812" s="15" t="n"/>
      <c r="I812" s="15" t="n"/>
    </row>
    <row r="813" ht="15" customHeight="1" s="16">
      <c r="C813" s="15" t="n"/>
      <c r="I813" s="15" t="n"/>
    </row>
    <row r="814" ht="15" customHeight="1" s="16">
      <c r="C814" s="15" t="n"/>
      <c r="I814" s="15" t="n"/>
    </row>
    <row r="815" ht="15" customHeight="1" s="16">
      <c r="C815" s="15" t="n"/>
      <c r="I815" s="15" t="n"/>
    </row>
    <row r="816" ht="15" customHeight="1" s="16">
      <c r="C816" s="15" t="n"/>
      <c r="I816" s="15" t="n"/>
    </row>
    <row r="817" ht="15" customHeight="1" s="16">
      <c r="C817" s="15" t="n"/>
      <c r="I817" s="15" t="n"/>
    </row>
    <row r="818" ht="15" customHeight="1" s="16">
      <c r="C818" s="15" t="n"/>
      <c r="I818" s="15" t="n"/>
    </row>
    <row r="819" ht="15" customHeight="1" s="16">
      <c r="C819" s="15" t="n"/>
      <c r="I819" s="15" t="n"/>
    </row>
    <row r="820" ht="15" customHeight="1" s="16">
      <c r="C820" s="15" t="n"/>
      <c r="I820" s="15" t="n"/>
    </row>
    <row r="821" ht="15" customHeight="1" s="16">
      <c r="C821" s="15" t="n"/>
      <c r="I821" s="15" t="n"/>
    </row>
    <row r="822" ht="15" customHeight="1" s="16">
      <c r="C822" s="15" t="n"/>
      <c r="I822" s="15" t="n"/>
    </row>
    <row r="823" ht="15" customHeight="1" s="16">
      <c r="C823" s="15" t="n"/>
      <c r="I823" s="15" t="n"/>
    </row>
    <row r="824" ht="15" customHeight="1" s="16">
      <c r="C824" s="15" t="n"/>
      <c r="I824" s="15" t="n"/>
    </row>
    <row r="825" ht="15" customHeight="1" s="16">
      <c r="C825" s="15" t="n"/>
      <c r="I825" s="15" t="n"/>
    </row>
    <row r="826" ht="15" customHeight="1" s="16">
      <c r="C826" s="15" t="n"/>
      <c r="I826" s="15" t="n"/>
    </row>
    <row r="827" ht="15" customHeight="1" s="16">
      <c r="C827" s="15" t="n"/>
      <c r="I827" s="15" t="n"/>
    </row>
    <row r="828" ht="15" customHeight="1" s="16">
      <c r="C828" s="15" t="n"/>
      <c r="I828" s="15" t="n"/>
    </row>
    <row r="829" ht="15" customHeight="1" s="16">
      <c r="C829" s="15" t="n"/>
      <c r="I829" s="15" t="n"/>
    </row>
    <row r="830" ht="15" customHeight="1" s="16">
      <c r="C830" s="15" t="n"/>
      <c r="I830" s="15" t="n"/>
    </row>
    <row r="831" ht="15" customHeight="1" s="16">
      <c r="C831" s="15" t="n"/>
      <c r="I831" s="15" t="n"/>
    </row>
    <row r="832" ht="15" customHeight="1" s="16">
      <c r="C832" s="15" t="n"/>
      <c r="I832" s="15" t="n"/>
    </row>
    <row r="833" ht="15" customHeight="1" s="16">
      <c r="C833" s="15" t="n"/>
      <c r="I833" s="15" t="n"/>
    </row>
    <row r="834" ht="15" customHeight="1" s="16">
      <c r="C834" s="15" t="n"/>
      <c r="I834" s="15" t="n"/>
    </row>
    <row r="835" ht="15" customHeight="1" s="16">
      <c r="C835" s="15" t="n"/>
      <c r="I835" s="15" t="n"/>
    </row>
    <row r="836" ht="15" customHeight="1" s="16">
      <c r="C836" s="15" t="n"/>
      <c r="I836" s="15" t="n"/>
    </row>
    <row r="837" ht="15" customHeight="1" s="16">
      <c r="C837" s="15" t="n"/>
      <c r="I837" s="15" t="n"/>
    </row>
    <row r="838" ht="15" customHeight="1" s="16">
      <c r="C838" s="15" t="n"/>
      <c r="I838" s="15" t="n"/>
    </row>
    <row r="839" ht="15" customHeight="1" s="16">
      <c r="C839" s="15" t="n"/>
      <c r="I839" s="15" t="n"/>
    </row>
    <row r="840" ht="15" customHeight="1" s="16">
      <c r="C840" s="15" t="n"/>
      <c r="I840" s="15" t="n"/>
    </row>
    <row r="841" ht="15" customHeight="1" s="16">
      <c r="C841" s="15" t="n"/>
      <c r="I841" s="15" t="n"/>
    </row>
    <row r="842" ht="15" customHeight="1" s="16">
      <c r="C842" s="15" t="n"/>
      <c r="I842" s="15" t="n"/>
    </row>
    <row r="843" ht="15" customHeight="1" s="16">
      <c r="C843" s="15" t="n"/>
      <c r="I843" s="15" t="n"/>
    </row>
    <row r="844" ht="15" customHeight="1" s="16">
      <c r="C844" s="15" t="n"/>
      <c r="I844" s="15" t="n"/>
    </row>
    <row r="845" ht="15" customHeight="1" s="16">
      <c r="C845" s="15" t="n"/>
      <c r="I845" s="15" t="n"/>
    </row>
    <row r="846" ht="15" customHeight="1" s="16">
      <c r="C846" s="15" t="n"/>
      <c r="I846" s="15" t="n"/>
    </row>
    <row r="847" ht="15" customHeight="1" s="16">
      <c r="C847" s="15" t="n"/>
      <c r="I847" s="15" t="n"/>
    </row>
    <row r="848" ht="15" customHeight="1" s="16">
      <c r="C848" s="15" t="n"/>
      <c r="I848" s="15" t="n"/>
    </row>
    <row r="849" ht="15" customHeight="1" s="16">
      <c r="C849" s="15" t="n"/>
      <c r="I849" s="15" t="n"/>
    </row>
    <row r="850" ht="15" customHeight="1" s="16">
      <c r="C850" s="15" t="n"/>
      <c r="I850" s="15" t="n"/>
    </row>
    <row r="851" ht="15" customHeight="1" s="16">
      <c r="C851" s="15" t="n"/>
      <c r="I851" s="15" t="n"/>
    </row>
    <row r="852" ht="15" customHeight="1" s="16">
      <c r="C852" s="15" t="n"/>
      <c r="I852" s="15" t="n"/>
    </row>
    <row r="853" ht="15" customHeight="1" s="16">
      <c r="C853" s="15" t="n"/>
      <c r="I853" s="15" t="n"/>
    </row>
    <row r="854" ht="15" customHeight="1" s="16">
      <c r="C854" s="15" t="n"/>
      <c r="I854" s="15" t="n"/>
    </row>
    <row r="855" ht="15" customHeight="1" s="16">
      <c r="C855" s="15" t="n"/>
      <c r="I855" s="15" t="n"/>
    </row>
    <row r="856" ht="15" customHeight="1" s="16">
      <c r="C856" s="15" t="n"/>
      <c r="I856" s="15" t="n"/>
    </row>
    <row r="857" ht="15" customHeight="1" s="16">
      <c r="C857" s="15" t="n"/>
      <c r="I857" s="15" t="n"/>
    </row>
    <row r="858" ht="15" customHeight="1" s="16">
      <c r="C858" s="15" t="n"/>
      <c r="I858" s="15" t="n"/>
    </row>
    <row r="859" ht="15" customHeight="1" s="16">
      <c r="C859" s="15" t="n"/>
      <c r="I859" s="15" t="n"/>
    </row>
    <row r="860" ht="15" customHeight="1" s="16">
      <c r="C860" s="15" t="n"/>
      <c r="I860" s="15" t="n"/>
    </row>
    <row r="861" ht="15" customHeight="1" s="16">
      <c r="C861" s="15" t="n"/>
      <c r="I861" s="15" t="n"/>
    </row>
    <row r="862" ht="15" customHeight="1" s="16">
      <c r="C862" s="15" t="n"/>
      <c r="I862" s="15" t="n"/>
    </row>
    <row r="863" ht="15" customHeight="1" s="16">
      <c r="C863" s="15" t="n"/>
      <c r="I863" s="15" t="n"/>
    </row>
    <row r="864" ht="15" customHeight="1" s="16">
      <c r="C864" s="15" t="n"/>
      <c r="I864" s="15" t="n"/>
    </row>
    <row r="865" ht="15" customHeight="1" s="16">
      <c r="C865" s="15" t="n"/>
      <c r="I865" s="15" t="n"/>
    </row>
    <row r="866" ht="15" customHeight="1" s="16">
      <c r="C866" s="15" t="n"/>
      <c r="I866" s="15" t="n"/>
    </row>
    <row r="867" ht="15" customHeight="1" s="16">
      <c r="C867" s="15" t="n"/>
      <c r="I867" s="15" t="n"/>
    </row>
    <row r="868" ht="15" customHeight="1" s="16">
      <c r="C868" s="15" t="n"/>
      <c r="I868" s="15" t="n"/>
    </row>
    <row r="869" ht="15" customHeight="1" s="16">
      <c r="C869" s="15" t="n"/>
      <c r="I869" s="15" t="n"/>
    </row>
    <row r="870" ht="15" customHeight="1" s="16">
      <c r="C870" s="15" t="n"/>
      <c r="I870" s="15" t="n"/>
    </row>
    <row r="871" ht="15" customHeight="1" s="16">
      <c r="C871" s="15" t="n"/>
      <c r="I871" s="15" t="n"/>
    </row>
    <row r="872" ht="15" customHeight="1" s="16">
      <c r="C872" s="15" t="n"/>
      <c r="I872" s="15" t="n"/>
    </row>
    <row r="873" ht="15" customHeight="1" s="16">
      <c r="C873" s="15" t="n"/>
      <c r="I873" s="15" t="n"/>
    </row>
    <row r="874" ht="15" customHeight="1" s="16">
      <c r="C874" s="15" t="n"/>
      <c r="I874" s="15" t="n"/>
    </row>
    <row r="875" ht="15" customHeight="1" s="16">
      <c r="C875" s="15" t="n"/>
      <c r="I875" s="15" t="n"/>
    </row>
    <row r="876" ht="15" customHeight="1" s="16">
      <c r="C876" s="15" t="n"/>
      <c r="I876" s="15" t="n"/>
    </row>
    <row r="877" ht="15" customHeight="1" s="16">
      <c r="C877" s="15" t="n"/>
      <c r="I877" s="15" t="n"/>
    </row>
    <row r="878" ht="15" customHeight="1" s="16">
      <c r="C878" s="15" t="n"/>
      <c r="I878" s="15" t="n"/>
    </row>
    <row r="879" ht="15" customHeight="1" s="16">
      <c r="C879" s="15" t="n"/>
      <c r="I879" s="15" t="n"/>
    </row>
    <row r="880" ht="15" customHeight="1" s="16">
      <c r="C880" s="15" t="n"/>
      <c r="I880" s="15" t="n"/>
    </row>
    <row r="881" ht="15" customHeight="1" s="16">
      <c r="C881" s="15" t="n"/>
      <c r="I881" s="15" t="n"/>
    </row>
    <row r="882" ht="15" customHeight="1" s="16">
      <c r="C882" s="15" t="n"/>
      <c r="I882" s="15" t="n"/>
    </row>
    <row r="883" ht="15" customHeight="1" s="16">
      <c r="C883" s="15" t="n"/>
      <c r="I883" s="15" t="n"/>
    </row>
    <row r="884" ht="15" customHeight="1" s="16">
      <c r="C884" s="15" t="n"/>
      <c r="I884" s="15" t="n"/>
    </row>
    <row r="885" ht="15" customHeight="1" s="16">
      <c r="C885" s="15" t="n"/>
      <c r="I885" s="15" t="n"/>
    </row>
    <row r="886" ht="15" customHeight="1" s="16">
      <c r="C886" s="15" t="n"/>
      <c r="I886" s="15" t="n"/>
    </row>
    <row r="887" ht="15" customHeight="1" s="16">
      <c r="C887" s="15" t="n"/>
      <c r="I887" s="15" t="n"/>
    </row>
    <row r="888" ht="15" customHeight="1" s="16">
      <c r="C888" s="15" t="n"/>
      <c r="I888" s="15" t="n"/>
    </row>
    <row r="889" ht="15" customHeight="1" s="16">
      <c r="C889" s="15" t="n"/>
      <c r="I889" s="15" t="n"/>
    </row>
    <row r="890" ht="15" customHeight="1" s="16">
      <c r="C890" s="15" t="n"/>
      <c r="I890" s="15" t="n"/>
    </row>
    <row r="891" ht="15" customHeight="1" s="16">
      <c r="C891" s="15" t="n"/>
      <c r="I891" s="15" t="n"/>
    </row>
    <row r="892" ht="15" customHeight="1" s="16">
      <c r="C892" s="15" t="n"/>
      <c r="I892" s="15" t="n"/>
    </row>
    <row r="893" ht="15" customHeight="1" s="16">
      <c r="C893" s="15" t="n"/>
      <c r="I893" s="15" t="n"/>
    </row>
    <row r="894" ht="15" customHeight="1" s="16">
      <c r="C894" s="15" t="n"/>
      <c r="I894" s="15" t="n"/>
    </row>
    <row r="895" ht="15" customHeight="1" s="16">
      <c r="C895" s="15" t="n"/>
      <c r="I895" s="15" t="n"/>
    </row>
    <row r="896" ht="15" customHeight="1" s="16">
      <c r="C896" s="15" t="n"/>
      <c r="I896" s="15" t="n"/>
    </row>
    <row r="897" ht="15" customHeight="1" s="16">
      <c r="C897" s="15" t="n"/>
      <c r="I897" s="15" t="n"/>
    </row>
    <row r="898" ht="15" customHeight="1" s="16">
      <c r="C898" s="15" t="n"/>
      <c r="I898" s="15" t="n"/>
    </row>
    <row r="899" ht="15" customHeight="1" s="16">
      <c r="C899" s="15" t="n"/>
      <c r="I899" s="15" t="n"/>
    </row>
    <row r="900" ht="15" customHeight="1" s="16">
      <c r="C900" s="15" t="n"/>
      <c r="I900" s="15" t="n"/>
    </row>
    <row r="901" ht="15" customHeight="1" s="16">
      <c r="C901" s="15" t="n"/>
      <c r="I901" s="15" t="n"/>
    </row>
    <row r="902" ht="15" customHeight="1" s="16">
      <c r="C902" s="15" t="n"/>
      <c r="I902" s="15" t="n"/>
    </row>
    <row r="903" ht="15" customHeight="1" s="16">
      <c r="C903" s="15" t="n"/>
      <c r="I903" s="15" t="n"/>
    </row>
    <row r="904" ht="15" customHeight="1" s="16">
      <c r="C904" s="15" t="n"/>
      <c r="I904" s="15" t="n"/>
    </row>
    <row r="905" ht="15" customHeight="1" s="16">
      <c r="C905" s="15" t="n"/>
      <c r="I905" s="15" t="n"/>
    </row>
    <row r="906" ht="15" customHeight="1" s="16">
      <c r="C906" s="15" t="n"/>
      <c r="I906" s="15" t="n"/>
    </row>
    <row r="907" ht="15" customHeight="1" s="16">
      <c r="C907" s="15" t="n"/>
      <c r="I907" s="15" t="n"/>
    </row>
    <row r="908" ht="15" customHeight="1" s="16">
      <c r="C908" s="15" t="n"/>
      <c r="I908" s="15" t="n"/>
    </row>
    <row r="909" ht="15" customHeight="1" s="16">
      <c r="C909" s="15" t="n"/>
      <c r="I909" s="15" t="n"/>
    </row>
    <row r="910" ht="15" customHeight="1" s="16">
      <c r="C910" s="15" t="n"/>
      <c r="I910" s="15" t="n"/>
    </row>
    <row r="911" ht="15" customHeight="1" s="16">
      <c r="C911" s="15" t="n"/>
      <c r="I911" s="15" t="n"/>
    </row>
    <row r="912" ht="15" customHeight="1" s="16">
      <c r="C912" s="15" t="n"/>
      <c r="I912" s="15" t="n"/>
    </row>
    <row r="913" ht="15" customHeight="1" s="16">
      <c r="C913" s="15" t="n"/>
      <c r="I913" s="15" t="n"/>
    </row>
    <row r="914" ht="15" customHeight="1" s="16">
      <c r="C914" s="15" t="n"/>
      <c r="I914" s="15" t="n"/>
    </row>
    <row r="915" ht="15" customHeight="1" s="16">
      <c r="C915" s="15" t="n"/>
      <c r="I915" s="15" t="n"/>
    </row>
    <row r="916" ht="15" customHeight="1" s="16">
      <c r="C916" s="15" t="n"/>
      <c r="I916" s="15" t="n"/>
    </row>
    <row r="917" ht="15" customHeight="1" s="16">
      <c r="C917" s="15" t="n"/>
      <c r="I917" s="15" t="n"/>
    </row>
    <row r="918" ht="15" customHeight="1" s="16">
      <c r="C918" s="15" t="n"/>
      <c r="I918" s="15" t="n"/>
    </row>
    <row r="919" ht="15" customHeight="1" s="16">
      <c r="C919" s="15" t="n"/>
      <c r="I919" s="15" t="n"/>
    </row>
    <row r="920" ht="15" customHeight="1" s="16">
      <c r="C920" s="15" t="n"/>
      <c r="I920" s="15" t="n"/>
    </row>
    <row r="921" ht="15" customHeight="1" s="16">
      <c r="C921" s="15" t="n"/>
      <c r="I921" s="15" t="n"/>
    </row>
    <row r="922" ht="15" customHeight="1" s="16">
      <c r="C922" s="15" t="n"/>
      <c r="I922" s="15" t="n"/>
    </row>
    <row r="923" ht="15" customHeight="1" s="16">
      <c r="C923" s="15" t="n"/>
      <c r="I923" s="15" t="n"/>
    </row>
    <row r="924" ht="15" customHeight="1" s="16">
      <c r="C924" s="15" t="n"/>
      <c r="I924" s="15" t="n"/>
    </row>
    <row r="925" ht="15" customHeight="1" s="16">
      <c r="C925" s="15" t="n"/>
      <c r="I925" s="15" t="n"/>
    </row>
    <row r="926" ht="15" customHeight="1" s="16">
      <c r="C926" s="15" t="n"/>
      <c r="I926" s="15" t="n"/>
    </row>
    <row r="927" ht="15" customHeight="1" s="16">
      <c r="C927" s="15" t="n"/>
      <c r="I927" s="15" t="n"/>
    </row>
    <row r="928" ht="15" customHeight="1" s="16">
      <c r="C928" s="15" t="n"/>
      <c r="I928" s="15" t="n"/>
    </row>
    <row r="929" ht="15" customHeight="1" s="16">
      <c r="C929" s="15" t="n"/>
      <c r="I929" s="15" t="n"/>
    </row>
    <row r="930" ht="15" customHeight="1" s="16">
      <c r="C930" s="15" t="n"/>
      <c r="I930" s="15" t="n"/>
    </row>
    <row r="931" ht="15" customHeight="1" s="16">
      <c r="C931" s="15" t="n"/>
      <c r="I931" s="15" t="n"/>
    </row>
    <row r="932" ht="15" customHeight="1" s="16">
      <c r="C932" s="15" t="n"/>
      <c r="I932" s="15" t="n"/>
    </row>
    <row r="933" ht="15" customHeight="1" s="16">
      <c r="C933" s="15" t="n"/>
      <c r="I933" s="15" t="n"/>
    </row>
    <row r="934" ht="15" customHeight="1" s="16">
      <c r="C934" s="15" t="n"/>
      <c r="I934" s="15" t="n"/>
    </row>
    <row r="935" ht="15" customHeight="1" s="16">
      <c r="C935" s="15" t="n"/>
      <c r="I935" s="15" t="n"/>
    </row>
    <row r="936" ht="15" customHeight="1" s="16">
      <c r="C936" s="15" t="n"/>
      <c r="I936" s="15" t="n"/>
    </row>
    <row r="937" ht="15" customHeight="1" s="16">
      <c r="C937" s="15" t="n"/>
      <c r="I937" s="15" t="n"/>
    </row>
    <row r="938" ht="15" customHeight="1" s="16">
      <c r="C938" s="15" t="n"/>
      <c r="I938" s="15" t="n"/>
    </row>
    <row r="939" ht="15" customHeight="1" s="16">
      <c r="C939" s="15" t="n"/>
      <c r="I939" s="15" t="n"/>
    </row>
    <row r="940" ht="15" customHeight="1" s="16">
      <c r="C940" s="15" t="n"/>
      <c r="I940" s="15" t="n"/>
    </row>
    <row r="941" ht="15" customHeight="1" s="16">
      <c r="C941" s="15" t="n"/>
      <c r="I941" s="15" t="n"/>
    </row>
    <row r="942" ht="15" customHeight="1" s="16">
      <c r="C942" s="15" t="n"/>
      <c r="I942" s="15" t="n"/>
    </row>
    <row r="943" ht="15" customHeight="1" s="16">
      <c r="C943" s="15" t="n"/>
      <c r="I943" s="15" t="n"/>
    </row>
    <row r="944" ht="15" customHeight="1" s="16">
      <c r="C944" s="15" t="n"/>
      <c r="I944" s="15" t="n"/>
    </row>
    <row r="945" ht="15" customHeight="1" s="16">
      <c r="C945" s="15" t="n"/>
      <c r="I945" s="15" t="n"/>
    </row>
    <row r="946" ht="15" customHeight="1" s="16">
      <c r="C946" s="15" t="n"/>
      <c r="I946" s="15" t="n"/>
    </row>
    <row r="947" ht="15" customHeight="1" s="16">
      <c r="C947" s="15" t="n"/>
      <c r="I947" s="15" t="n"/>
    </row>
    <row r="948" ht="15" customHeight="1" s="16">
      <c r="C948" s="15" t="n"/>
      <c r="I948" s="15" t="n"/>
    </row>
    <row r="949" ht="15" customHeight="1" s="16">
      <c r="C949" s="15" t="n"/>
      <c r="I949" s="15" t="n"/>
    </row>
    <row r="950" ht="15" customHeight="1" s="16">
      <c r="C950" s="15" t="n"/>
      <c r="I950" s="15" t="n"/>
    </row>
    <row r="951" ht="15" customHeight="1" s="16">
      <c r="C951" s="15" t="n"/>
      <c r="I951" s="15" t="n"/>
    </row>
    <row r="952" ht="15" customHeight="1" s="16">
      <c r="C952" s="15" t="n"/>
      <c r="I952" s="15" t="n"/>
    </row>
    <row r="953" ht="15" customHeight="1" s="16">
      <c r="C953" s="15" t="n"/>
      <c r="I953" s="15" t="n"/>
    </row>
    <row r="954" ht="15" customHeight="1" s="16">
      <c r="C954" s="15" t="n"/>
      <c r="I954" s="15" t="n"/>
    </row>
    <row r="955" ht="15" customHeight="1" s="16">
      <c r="C955" s="15" t="n"/>
      <c r="I955" s="15" t="n"/>
    </row>
    <row r="956" ht="15" customHeight="1" s="16">
      <c r="C956" s="15" t="n"/>
      <c r="I956" s="15" t="n"/>
    </row>
    <row r="957" ht="15" customHeight="1" s="16">
      <c r="C957" s="15" t="n"/>
      <c r="I957" s="15" t="n"/>
    </row>
    <row r="958" ht="15" customHeight="1" s="16">
      <c r="C958" s="15" t="n"/>
      <c r="I958" s="15" t="n"/>
    </row>
    <row r="959" ht="15" customHeight="1" s="16">
      <c r="C959" s="15" t="n"/>
      <c r="I959" s="15" t="n"/>
    </row>
    <row r="960" ht="15" customHeight="1" s="16">
      <c r="C960" s="15" t="n"/>
      <c r="I960" s="15" t="n"/>
    </row>
    <row r="961" ht="15" customHeight="1" s="16">
      <c r="C961" s="15" t="n"/>
      <c r="I961" s="15" t="n"/>
    </row>
    <row r="962" ht="15" customHeight="1" s="16">
      <c r="C962" s="15" t="n"/>
      <c r="I962" s="15" t="n"/>
    </row>
    <row r="963" ht="15" customHeight="1" s="16">
      <c r="C963" s="15" t="n"/>
      <c r="I963" s="15" t="n"/>
    </row>
    <row r="964" ht="15" customHeight="1" s="16">
      <c r="C964" s="15" t="n"/>
      <c r="I964" s="15" t="n"/>
    </row>
    <row r="965" ht="15" customHeight="1" s="16">
      <c r="C965" s="15" t="n"/>
      <c r="I965" s="15" t="n"/>
    </row>
    <row r="966" ht="15" customHeight="1" s="16">
      <c r="C966" s="15" t="n"/>
      <c r="I966" s="15" t="n"/>
    </row>
    <row r="967" ht="15" customHeight="1" s="16">
      <c r="C967" s="15" t="n"/>
      <c r="I967" s="15" t="n"/>
    </row>
    <row r="968" ht="15" customHeight="1" s="16">
      <c r="C968" s="15" t="n"/>
      <c r="I968" s="15" t="n"/>
    </row>
    <row r="969" ht="15" customHeight="1" s="16">
      <c r="C969" s="15" t="n"/>
      <c r="I969" s="15" t="n"/>
    </row>
    <row r="970" ht="15" customHeight="1" s="16">
      <c r="C970" s="15" t="n"/>
      <c r="I970" s="15" t="n"/>
    </row>
    <row r="971" ht="15" customHeight="1" s="16">
      <c r="C971" s="15" t="n"/>
      <c r="I971" s="15" t="n"/>
    </row>
    <row r="972" ht="15" customHeight="1" s="16">
      <c r="C972" s="15" t="n"/>
      <c r="I972" s="15" t="n"/>
    </row>
    <row r="973" ht="15" customHeight="1" s="16">
      <c r="C973" s="15" t="n"/>
      <c r="I973" s="15" t="n"/>
    </row>
    <row r="974" ht="15" customHeight="1" s="16">
      <c r="C974" s="15" t="n"/>
      <c r="I974" s="15" t="n"/>
    </row>
    <row r="975" ht="15" customHeight="1" s="16">
      <c r="C975" s="15" t="n"/>
      <c r="I975" s="15" t="n"/>
    </row>
    <row r="976" ht="15" customHeight="1" s="16">
      <c r="C976" s="15" t="n"/>
      <c r="I976" s="15" t="n"/>
    </row>
    <row r="977" ht="15" customHeight="1" s="16">
      <c r="C977" s="15" t="n"/>
      <c r="I977" s="15" t="n"/>
    </row>
    <row r="978" ht="15" customHeight="1" s="16">
      <c r="C978" s="15" t="n"/>
      <c r="I978" s="15" t="n"/>
    </row>
    <row r="979" ht="15" customHeight="1" s="16">
      <c r="C979" s="15" t="n"/>
      <c r="I979" s="15" t="n"/>
    </row>
    <row r="980" ht="15" customHeight="1" s="16">
      <c r="C980" s="15" t="n"/>
      <c r="I980" s="15" t="n"/>
    </row>
    <row r="981" ht="15" customHeight="1" s="16">
      <c r="C981" s="15" t="n"/>
      <c r="I981" s="15" t="n"/>
    </row>
    <row r="982" ht="15" customHeight="1" s="16">
      <c r="C982" s="15" t="n"/>
      <c r="I982" s="15" t="n"/>
    </row>
    <row r="983" ht="15" customHeight="1" s="16">
      <c r="C983" s="15" t="n"/>
      <c r="I983" s="15" t="n"/>
    </row>
    <row r="984" ht="15" customHeight="1" s="16">
      <c r="C984" s="15" t="n"/>
      <c r="I984" s="15" t="n"/>
    </row>
    <row r="985" ht="15" customHeight="1" s="16">
      <c r="C985" s="15" t="n"/>
      <c r="I985" s="15" t="n"/>
    </row>
    <row r="986" ht="15" customHeight="1" s="16">
      <c r="C986" s="15" t="n"/>
      <c r="I986" s="15" t="n"/>
    </row>
    <row r="987" ht="15" customHeight="1" s="16">
      <c r="C987" s="15" t="n"/>
      <c r="I987" s="15" t="n"/>
    </row>
    <row r="988" ht="15" customHeight="1" s="16">
      <c r="C988" s="15" t="n"/>
      <c r="I988" s="15" t="n"/>
    </row>
    <row r="989" ht="15" customHeight="1" s="16">
      <c r="C989" s="15" t="n"/>
      <c r="I989" s="15" t="n"/>
    </row>
    <row r="990" ht="15" customHeight="1" s="16">
      <c r="C990" s="15" t="n"/>
      <c r="I990" s="15" t="n"/>
    </row>
    <row r="991" ht="15" customHeight="1" s="16">
      <c r="C991" s="15" t="n"/>
      <c r="I991" s="15" t="n"/>
    </row>
    <row r="992" ht="15" customHeight="1" s="16">
      <c r="C992" s="15" t="n"/>
      <c r="I992" s="15" t="n"/>
    </row>
    <row r="993" ht="15" customHeight="1" s="16">
      <c r="C993" s="15" t="n"/>
      <c r="I993" s="15" t="n"/>
    </row>
    <row r="994" ht="15" customHeight="1" s="16">
      <c r="C994" s="15" t="n"/>
      <c r="I994" s="15" t="n"/>
    </row>
    <row r="995" ht="15" customHeight="1" s="16">
      <c r="C995" s="15" t="n"/>
      <c r="I995" s="15" t="n"/>
    </row>
    <row r="996" ht="15" customHeight="1" s="16">
      <c r="C996" s="15" t="n"/>
      <c r="I996" s="15" t="n"/>
    </row>
    <row r="997" ht="15" customHeight="1" s="16">
      <c r="C997" s="15" t="n"/>
      <c r="I997" s="15" t="n"/>
    </row>
    <row r="998" ht="15" customHeight="1" s="16">
      <c r="C998" s="15" t="n"/>
      <c r="I998" s="15" t="n"/>
    </row>
    <row r="999" ht="15" customHeight="1" s="16">
      <c r="C999" s="15" t="n"/>
      <c r="I999" s="15" t="n"/>
    </row>
    <row r="1000" ht="15" customHeight="1" s="16">
      <c r="C1000" s="15" t="n"/>
      <c r="I1000" s="15" t="n"/>
    </row>
  </sheetData>
  <autoFilter ref="A1:P20"/>
  <conditionalFormatting sqref="M2:M20">
    <cfRule type="cellIs" rank="0" priority="2" equalAverage="0" operator="equal" aboveAverage="0" dxfId="4" text="" percent="0" bottom="0">
      <formula>"Planned"</formula>
    </cfRule>
    <cfRule type="cellIs" rank="0" priority="3" equalAverage="0" operator="equal" aboveAverage="0" dxfId="5" text="" percent="0" bottom="0">
      <formula>"Drafted"</formula>
    </cfRule>
    <cfRule type="cellIs" rank="0" priority="4" equalAverage="0" operator="equal" aboveAverage="0" dxfId="6" text="" percent="0" bottom="0">
      <formula>"Generated"</formula>
    </cfRule>
    <cfRule type="cellIs" rank="0" priority="5" equalAverage="0" operator="equal" aboveAverage="0" dxfId="7" text="" percent="0" bottom="0">
      <formula>"Reviewed"</formula>
    </cfRule>
    <cfRule type="cellIs" rank="0" priority="6" equalAverage="0" operator="equal" aboveAverage="0" dxfId="8" text="" percent="0" bottom="0">
      <formula>"Published"</formula>
    </cfRule>
  </conditionalFormatting>
  <dataValidations count="4">
    <dataValidation sqref="M2:M1000" showDropDown="0" showInputMessage="0" showErrorMessage="0" allowBlank="1" type="list" errorStyle="stop" operator="between">
      <formula1>"Planned,Drafted,Generated,Reviewed,Published"</formula1>
      <formula2>0</formula2>
    </dataValidation>
    <dataValidation sqref="C2:C1000" showDropDown="0" showInputMessage="0" showErrorMessage="0" allowBlank="0" type="list" errorStyle="stop" operator="between">
      <formula1>"Number,Algebra,Measurement,Space,Statistics,Probability"</formula1>
      <formula2>0</formula2>
    </dataValidation>
    <dataValidation sqref="B2:B1000" showDropDown="0" showInputMessage="0" showErrorMessage="0" allowBlank="0" type="list" errorStyle="stop" operator="between">
      <formula1>"7,8,9,10"</formula1>
      <formula2>0</formula2>
    </dataValidation>
    <dataValidation sqref="I2:I1000" showDropDown="0" showInputMessage="0" showErrorMessage="0" allowBlank="1" type="list" errorStyle="stop" operator="between">
      <formula1>"Strict,Implied,Strict + cross-tag,Adapted (SA),Created (SA)"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5" min="1" max="1"/>
    <col width="6" customWidth="1" style="15" min="2" max="2"/>
    <col width="13" customWidth="1" style="15" min="3" max="3"/>
    <col width="80" customWidth="1" style="15" min="4" max="4"/>
    <col width="8" customWidth="1" style="15" min="5" max="5"/>
    <col width="100" customWidth="1" style="15" min="6" max="6"/>
  </cols>
  <sheetData>
    <row r="1" ht="41.25" customHeight="1" s="16">
      <c r="A1" s="23" t="inlineStr">
        <is>
          <t>Code</t>
        </is>
      </c>
      <c r="B1" s="23" t="inlineStr">
        <is>
          <t>Year</t>
        </is>
      </c>
      <c r="C1" s="23" t="inlineStr">
        <is>
          <t>Strand</t>
        </is>
      </c>
      <c r="D1" s="23" t="inlineStr">
        <is>
          <t>Descriptor</t>
        </is>
      </c>
      <c r="E1" s="23" t="inlineStr">
        <is>
          <t>Elaboration #</t>
        </is>
      </c>
      <c r="F1" s="23" t="inlineStr">
        <is>
          <t>Elaboration text</t>
        </is>
      </c>
    </row>
    <row r="2" ht="23.25" customHeight="1" s="16">
      <c r="A2" s="24" t="inlineStr">
        <is>
          <t>AC9M7N01</t>
        </is>
      </c>
      <c r="B2" s="24" t="n">
        <v>7</v>
      </c>
      <c r="C2" s="24" t="inlineStr">
        <is>
          <t>Number</t>
        </is>
      </c>
      <c r="D2" s="24" t="inlineStr">
        <is>
          <t>describe the relationship between perfect square numbers and square roots, and use squares of numbers and square roots of perfect square numbers to solve problems</t>
        </is>
      </c>
      <c r="E2" s="24" t="n">
        <v>1</v>
      </c>
      <c r="F2" s="24" t="inlineStr">
        <is>
          <t>investigating squares of natural numbers from one to 20, and connecting them to visual representations such as dots arranged in a square pattern</t>
        </is>
      </c>
    </row>
    <row r="3" ht="23.25" customHeight="1" s="16">
      <c r="A3" s="24" t="inlineStr">
        <is>
          <t>AC9M7N01</t>
        </is>
      </c>
      <c r="B3" s="24" t="n">
        <v>7</v>
      </c>
      <c r="C3" s="24" t="inlineStr">
        <is>
          <t>Number</t>
        </is>
      </c>
      <c r="D3" s="24" t="inlineStr">
        <is>
          <t>describe the relationship between perfect square numbers and square roots, and use squares of numbers and square roots of perfect square numbers to solve problems</t>
        </is>
      </c>
      <c r="E3" s="24" t="n">
        <v>2</v>
      </c>
      <c r="F3" s="24" t="inlineStr">
        <is>
          <t>using the square and square root notation, and the distributive property and area diagrams to calculate the squares of two-digit numbers; for example, 43²=(40+3)²=40²+2×40×3+3²=1600+240+9=1849</t>
        </is>
      </c>
    </row>
    <row r="4" ht="23.25" customHeight="1" s="16">
      <c r="A4" s="24" t="inlineStr">
        <is>
          <t>AC9M7N01</t>
        </is>
      </c>
      <c r="B4" s="24" t="n">
        <v>7</v>
      </c>
      <c r="C4" s="24" t="inlineStr">
        <is>
          <t>Number</t>
        </is>
      </c>
      <c r="D4" s="24" t="inlineStr">
        <is>
          <t>describe the relationship between perfect square numbers and square roots, and use squares of numbers and square roots of perfect square numbers to solve problems</t>
        </is>
      </c>
      <c r="E4" s="24" t="n">
        <v>3</v>
      </c>
      <c r="F4" s="24" t="inlineStr">
        <is>
          <t>determining between which 2 consecutive natural numbers the square root of a given number lies; for example, 43 is between the square numbers 36 and 49 so √(43) is between √(36) and √(49) and therefore between 6 and 7</t>
        </is>
      </c>
    </row>
    <row r="5" ht="23.25" customHeight="1" s="16">
      <c r="A5" s="24" t="inlineStr">
        <is>
          <t>AC9M7N01</t>
        </is>
      </c>
      <c r="B5" s="24" t="n">
        <v>7</v>
      </c>
      <c r="C5" s="24" t="inlineStr">
        <is>
          <t>Number</t>
        </is>
      </c>
      <c r="D5" s="24" t="inlineStr">
        <is>
          <t>describe the relationship between perfect square numbers and square roots, and use squares of numbers and square roots of perfect square numbers to solve problems</t>
        </is>
      </c>
      <c r="E5" s="24" t="n">
        <v>4</v>
      </c>
      <c r="F5" s="24"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6">
      <c r="A6" s="24" t="inlineStr">
        <is>
          <t>AC9M7N01</t>
        </is>
      </c>
      <c r="B6" s="24" t="n">
        <v>7</v>
      </c>
      <c r="C6" s="24" t="inlineStr">
        <is>
          <t>Number</t>
        </is>
      </c>
      <c r="D6" s="24" t="inlineStr">
        <is>
          <t>describe the relationship between perfect square numbers and square roots, and use squares of numbers and square roots of perfect square numbers to solve problems</t>
        </is>
      </c>
      <c r="E6" s="24" t="n">
        <v>5</v>
      </c>
      <c r="F6" s="24"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6">
      <c r="A7" s="24" t="inlineStr">
        <is>
          <t>AC9M7N02</t>
        </is>
      </c>
      <c r="B7" s="24" t="n">
        <v>7</v>
      </c>
      <c r="C7" s="24" t="inlineStr">
        <is>
          <t>Number</t>
        </is>
      </c>
      <c r="D7" s="24" t="inlineStr">
        <is>
          <t>represent natural numbers as products of powers of prime numbers using exponent notation</t>
        </is>
      </c>
      <c r="E7" s="24" t="n">
        <v>1</v>
      </c>
      <c r="F7" s="24" t="inlineStr">
        <is>
          <t>applying knowledge of factors to strategies for expressing natural numbers as products of powers of prime factors, such as repeated division by prime factors or creating factor trees; for example, 48=6×8=2×3×2×2×2=3¹×2⁴=3×2⁴</t>
        </is>
      </c>
    </row>
    <row r="8" ht="23.25" customHeight="1" s="16">
      <c r="A8" s="24" t="inlineStr">
        <is>
          <t>AC9M7N02</t>
        </is>
      </c>
      <c r="B8" s="24" t="n">
        <v>7</v>
      </c>
      <c r="C8" s="24" t="inlineStr">
        <is>
          <t>Number</t>
        </is>
      </c>
      <c r="D8" s="24" t="inlineStr">
        <is>
          <t>represent natural numbers as products of powers of prime numbers using exponent notation</t>
        </is>
      </c>
      <c r="E8" s="24" t="n">
        <v>2</v>
      </c>
      <c r="F8" s="24" t="inlineStr">
        <is>
          <t>developing familiarity with the sequence 1, 2, 4, 8, 16, 32, 64, 128, 256, 512 and powers of 2; the sequence 1, 3, 9, 27, 81, 243, 729 and powers of 3; and the sequence 1, 5, 25, 125, 625 and powers of 5</t>
        </is>
      </c>
    </row>
    <row r="9" ht="23.25" customHeight="1" s="16">
      <c r="A9" s="24" t="inlineStr">
        <is>
          <t>AC9M7N02</t>
        </is>
      </c>
      <c r="B9" s="24" t="n">
        <v>7</v>
      </c>
      <c r="C9" s="24" t="inlineStr">
        <is>
          <t>Number</t>
        </is>
      </c>
      <c r="D9" s="24" t="inlineStr">
        <is>
          <t>represent natural numbers as products of powers of prime numbers using exponent notation</t>
        </is>
      </c>
      <c r="E9" s="24" t="n">
        <v>3</v>
      </c>
      <c r="F9" s="24" t="inlineStr">
        <is>
          <t>solving problems involving lowest common multiples and greatest common divisors (highest common factors) for pairs of natural numbers by comparing their prime factorisation</t>
        </is>
      </c>
    </row>
    <row r="10" ht="15" customHeight="1" s="16">
      <c r="A10" s="24" t="inlineStr">
        <is>
          <t>AC9M7N03</t>
        </is>
      </c>
      <c r="B10" s="24" t="n">
        <v>7</v>
      </c>
      <c r="C10" s="24" t="inlineStr">
        <is>
          <t>Number</t>
        </is>
      </c>
      <c r="D10" s="24" t="inlineStr">
        <is>
          <t>represent natural numbers in expanded notation using place value and powers of 10</t>
        </is>
      </c>
      <c r="E10" s="24" t="n">
        <v>1</v>
      </c>
      <c r="F10" s="24" t="inlineStr">
        <is>
          <t>investigating exponent notation for powers of 10 such as “one hundred thousand” is 100 000=10×10×10×10×10=10⁵</t>
        </is>
      </c>
    </row>
    <row r="11" ht="15" customHeight="1" s="16">
      <c r="A11" s="24" t="inlineStr">
        <is>
          <t>AC9M7N03</t>
        </is>
      </c>
      <c r="B11" s="24" t="n">
        <v>7</v>
      </c>
      <c r="C11" s="24" t="inlineStr">
        <is>
          <t>Number</t>
        </is>
      </c>
      <c r="D11" s="24" t="inlineStr">
        <is>
          <t>represent natural numbers in expanded notation using place value and powers of 10</t>
        </is>
      </c>
      <c r="E11" s="24" t="n">
        <v>2</v>
      </c>
      <c r="F11" s="24" t="inlineStr">
        <is>
          <t>relating the sequences 10, 100, 1000, 10 000 … and 101, 102, 103, 104 ...</t>
        </is>
      </c>
    </row>
    <row r="12" ht="23.25" customHeight="1" s="16">
      <c r="A12" s="24" t="inlineStr">
        <is>
          <t>AC9M7N03</t>
        </is>
      </c>
      <c r="B12" s="24" t="n">
        <v>7</v>
      </c>
      <c r="C12" s="24" t="inlineStr">
        <is>
          <t>Number</t>
        </is>
      </c>
      <c r="D12" s="24" t="inlineStr">
        <is>
          <t>represent natural numbers in expanded notation using place value and powers of 10</t>
        </is>
      </c>
      <c r="E12" s="24" t="n">
        <v>3</v>
      </c>
      <c r="F12" s="24" t="inlineStr">
        <is>
          <t>applying and explaining the connections between place value and expanded notations; for example, 7000=7×10³ and 3750=3×10³+7×10²+5×10¹</t>
        </is>
      </c>
    </row>
    <row r="13" ht="23.25" customHeight="1" s="16">
      <c r="A13" s="24" t="inlineStr">
        <is>
          <t>AC9M7N04</t>
        </is>
      </c>
      <c r="B13" s="24" t="n">
        <v>7</v>
      </c>
      <c r="C13" s="24" t="inlineStr">
        <is>
          <t>Number</t>
        </is>
      </c>
      <c r="D13" s="24" t="inlineStr">
        <is>
          <t>find equivalent representations of rational numbers and represent rational numbers on a number line</t>
        </is>
      </c>
      <c r="E13" s="24" t="n">
        <v>1</v>
      </c>
      <c r="F13" s="24" t="inlineStr">
        <is>
          <t>investigating equivalence of fractions using common multiples and a fraction wall, diagrams or a number line to show that a fraction such as 2/3 is equivalent to 4/6 and 6/9 and therefore 2/3 &lt; 5/6</t>
        </is>
      </c>
    </row>
    <row r="14" ht="15" customHeight="1" s="16">
      <c r="A14" s="24" t="inlineStr">
        <is>
          <t>AC9M7N04</t>
        </is>
      </c>
      <c r="B14" s="24" t="n">
        <v>7</v>
      </c>
      <c r="C14" s="24" t="inlineStr">
        <is>
          <t>Number</t>
        </is>
      </c>
      <c r="D14" s="24" t="inlineStr">
        <is>
          <t>find equivalent representations of rational numbers and represent rational numbers on a number line</t>
        </is>
      </c>
      <c r="E14" s="24" t="n">
        <v>2</v>
      </c>
      <c r="F14" s="24" t="inlineStr">
        <is>
          <t>expressing a fraction in simplest form using common divisors</t>
        </is>
      </c>
    </row>
    <row r="15" ht="23.25" customHeight="1" s="16">
      <c r="A15" s="24" t="inlineStr">
        <is>
          <t>AC9M7N04</t>
        </is>
      </c>
      <c r="B15" s="24" t="n">
        <v>7</v>
      </c>
      <c r="C15" s="24" t="inlineStr">
        <is>
          <t>Number</t>
        </is>
      </c>
      <c r="D15" s="24" t="inlineStr">
        <is>
          <t>find equivalent representations of rational numbers and represent rational numbers on a number line</t>
        </is>
      </c>
      <c r="E15" s="24" t="n">
        <v>3</v>
      </c>
      <c r="F15" s="24" t="inlineStr">
        <is>
          <t>applying and explaining the equivalence between fraction, decimal and percentage representations of rational numbers; for example, 16%, 0.16, 16/100 and 4/25, using manipulatives, number lines or diagrams</t>
        </is>
      </c>
    </row>
    <row r="16" ht="23.25" customHeight="1" s="16">
      <c r="A16" s="24" t="inlineStr">
        <is>
          <t>AC9M7N04</t>
        </is>
      </c>
      <c r="B16" s="24" t="n">
        <v>7</v>
      </c>
      <c r="C16" s="24" t="inlineStr">
        <is>
          <t>Number</t>
        </is>
      </c>
      <c r="D16" s="24" t="inlineStr">
        <is>
          <t>find equivalent representations of rational numbers and represent rational numbers on a number line</t>
        </is>
      </c>
      <c r="E16" s="24" t="n">
        <v>4</v>
      </c>
      <c r="F16" s="24" t="inlineStr">
        <is>
          <t>representing positive and negative fractions and mixed numerals on various intervals of the real number line, including intervals that are not symmetrical about zero</t>
        </is>
      </c>
    </row>
    <row r="17" ht="23.25" customHeight="1" s="16">
      <c r="A17" s="24" t="inlineStr">
        <is>
          <t>AC9M7N05</t>
        </is>
      </c>
      <c r="B17" s="24" t="n">
        <v>7</v>
      </c>
      <c r="C17" s="24" t="inlineStr">
        <is>
          <t>Number</t>
        </is>
      </c>
      <c r="D17" s="24" t="inlineStr">
        <is>
          <t>round decimals to a given accuracy appropriate to the context and use appropriate rounding and estimation to check the reasonableness of solutions</t>
        </is>
      </c>
      <c r="E17" s="24" t="n">
        <v>1</v>
      </c>
      <c r="F17" s="24" t="inlineStr">
        <is>
          <t>identifying the interval between a pair of consecutive integers that includes a given rational number</t>
        </is>
      </c>
    </row>
    <row r="18" ht="23.25" customHeight="1" s="16">
      <c r="A18" s="24" t="inlineStr">
        <is>
          <t>AC9M7N05</t>
        </is>
      </c>
      <c r="B18" s="24" t="n">
        <v>7</v>
      </c>
      <c r="C18" s="24" t="inlineStr">
        <is>
          <t>Number</t>
        </is>
      </c>
      <c r="D18" s="24" t="inlineStr">
        <is>
          <t>round decimals to a given accuracy appropriate to the context and use appropriate rounding and estimation to check the reasonableness of solutions</t>
        </is>
      </c>
      <c r="E18" s="24" t="n">
        <v>2</v>
      </c>
      <c r="F18" s="24" t="inlineStr">
        <is>
          <t>choosing and applying conventions for rounding correct to a specified number of decimal places based upon the context</t>
        </is>
      </c>
    </row>
    <row r="19" ht="34.5" customHeight="1" s="16">
      <c r="A19" s="24" t="inlineStr">
        <is>
          <t>AC9M7N05</t>
        </is>
      </c>
      <c r="B19" s="24" t="n">
        <v>7</v>
      </c>
      <c r="C19" s="24" t="inlineStr">
        <is>
          <t>Number</t>
        </is>
      </c>
      <c r="D19" s="24" t="inlineStr">
        <is>
          <t>round decimals to a given accuracy appropriate to the context and use appropriate rounding and estimation to check the reasonableness of solutions</t>
        </is>
      </c>
      <c r="E19" s="24" t="n">
        <v>3</v>
      </c>
      <c r="F19" s="24"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6">
      <c r="A20" s="24" t="inlineStr">
        <is>
          <t>AC9M7N06</t>
        </is>
      </c>
      <c r="B20" s="24" t="n">
        <v>7</v>
      </c>
      <c r="C20" s="24" t="inlineStr">
        <is>
          <t>Number</t>
        </is>
      </c>
      <c r="D20" s="24" t="inlineStr">
        <is>
          <t>use the 4 operations with positive rational numbers including fractions, decimals and percentages to solve problems using efficient calculation strategies</t>
        </is>
      </c>
      <c r="E20" s="24" t="n">
        <v>1</v>
      </c>
      <c r="F20" s="24" t="inlineStr">
        <is>
          <t>solving addition and subtraction problems involving fractions and decimals; for example, using rectangular arrays with dimensions equal to the denominators, algebra tiles, digital tools or informal jottings</t>
        </is>
      </c>
    </row>
    <row r="21" ht="23.25" customHeight="1" s="16">
      <c r="A21" s="24" t="inlineStr">
        <is>
          <t>AC9M7N06</t>
        </is>
      </c>
      <c r="B21" s="24" t="n">
        <v>7</v>
      </c>
      <c r="C21" s="24" t="inlineStr">
        <is>
          <t>Number</t>
        </is>
      </c>
      <c r="D21" s="24" t="inlineStr">
        <is>
          <t>use the 4 operations with positive rational numbers including fractions, decimals and percentages to solve problems using efficient calculation strategies</t>
        </is>
      </c>
      <c r="E21" s="24" t="n">
        <v>2</v>
      </c>
      <c r="F21" s="24" t="inlineStr">
        <is>
          <t>choosing an appropriate numerical representation for a problem so that efficient computations can be made, such as 12.5%, 1/8, 0.125 or 125/1000</t>
        </is>
      </c>
    </row>
    <row r="22" ht="34.5" customHeight="1" s="16">
      <c r="A22" s="24" t="inlineStr">
        <is>
          <t>AC9M7N06</t>
        </is>
      </c>
      <c r="B22" s="24" t="n">
        <v>7</v>
      </c>
      <c r="C22" s="24" t="inlineStr">
        <is>
          <t>Number</t>
        </is>
      </c>
      <c r="D22" s="24" t="inlineStr">
        <is>
          <t>use the 4 operations with positive rational numbers including fractions, decimals and percentages to solve problems using efficient calculation strategies</t>
        </is>
      </c>
      <c r="E22" s="24" t="n">
        <v>3</v>
      </c>
      <c r="F22" s="24"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6">
      <c r="A23" s="24" t="inlineStr">
        <is>
          <t>AC9M7N06</t>
        </is>
      </c>
      <c r="B23" s="24" t="n">
        <v>7</v>
      </c>
      <c r="C23" s="24" t="inlineStr">
        <is>
          <t>Number</t>
        </is>
      </c>
      <c r="D23" s="24" t="inlineStr">
        <is>
          <t>use the 4 operations with positive rational numbers including fractions, decimals and percentages to solve problems using efficient calculation strategies</t>
        </is>
      </c>
      <c r="E23" s="24" t="n">
        <v>4</v>
      </c>
      <c r="F23" s="24" t="inlineStr">
        <is>
          <t>solving multiplicative problems involving fractions and decimals using fraction walls, rectangular arrays, algebra tiles, calculators or informal jottings</t>
        </is>
      </c>
    </row>
    <row r="24" ht="23.25" customHeight="1" s="16">
      <c r="A24" s="24" t="inlineStr">
        <is>
          <t>AC9M7N06</t>
        </is>
      </c>
      <c r="B24" s="24" t="n">
        <v>7</v>
      </c>
      <c r="C24" s="24" t="inlineStr">
        <is>
          <t>Number</t>
        </is>
      </c>
      <c r="D24" s="24" t="inlineStr">
        <is>
          <t>use the 4 operations with positive rational numbers including fractions, decimals and percentages to solve problems using efficient calculation strategies</t>
        </is>
      </c>
      <c r="E24" s="24" t="n">
        <v>5</v>
      </c>
      <c r="F24" s="24" t="inlineStr">
        <is>
          <t>developing efficient strategies with appropriate use of the commutative and associative properties, regrouping or partitioning to solve additive problems involving fractions and decimals</t>
        </is>
      </c>
    </row>
    <row r="25" ht="45.75" customHeight="1" s="16">
      <c r="A25" s="24" t="inlineStr">
        <is>
          <t>AC9M7N06</t>
        </is>
      </c>
      <c r="B25" s="24" t="n">
        <v>7</v>
      </c>
      <c r="C25" s="24" t="inlineStr">
        <is>
          <t>Number</t>
        </is>
      </c>
      <c r="D25" s="24" t="inlineStr">
        <is>
          <t>use the 4 operations with positive rational numbers including fractions, decimals and percentages to solve problems using efficient calculation strategies</t>
        </is>
      </c>
      <c r="E25" s="24" t="n">
        <v>6</v>
      </c>
      <c r="F25" s="24"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6">
      <c r="A26" s="24" t="inlineStr">
        <is>
          <t>AC9M7N07</t>
        </is>
      </c>
      <c r="B26" s="24" t="n">
        <v>7</v>
      </c>
      <c r="C26" s="24" t="inlineStr">
        <is>
          <t>Number</t>
        </is>
      </c>
      <c r="D26" s="24" t="inlineStr">
        <is>
          <t>compare, order and solve problems involving addition and subtraction of integers</t>
        </is>
      </c>
      <c r="E26" s="24" t="n">
        <v>1</v>
      </c>
      <c r="F26" s="24" t="inlineStr">
        <is>
          <t>using less-than and greater-than notation in expressions when comparing and ordering integers; for example, negative 5 is less than positive 2 and can be represented as (-5)&lt;(+2); (-3)&gt;(-6)</t>
        </is>
      </c>
    </row>
    <row r="27" ht="15" customHeight="1" s="16">
      <c r="A27" s="24" t="inlineStr">
        <is>
          <t>AC9M7N07</t>
        </is>
      </c>
      <c r="B27" s="24" t="n">
        <v>7</v>
      </c>
      <c r="C27" s="24" t="inlineStr">
        <is>
          <t>Number</t>
        </is>
      </c>
      <c r="D27" s="24" t="inlineStr">
        <is>
          <t>compare, order and solve problems involving addition and subtraction of integers</t>
        </is>
      </c>
      <c r="E27" s="24" t="n">
        <v>2</v>
      </c>
      <c r="F27" s="24" t="inlineStr">
        <is>
          <t>discussing language such as “addition”, “subtraction”, “magnitude”, “difference”, “sign” and synonyms of these terms</t>
        </is>
      </c>
    </row>
    <row r="28" ht="15" customHeight="1" s="16">
      <c r="A28" s="24" t="inlineStr">
        <is>
          <t>AC9M7N07</t>
        </is>
      </c>
      <c r="B28" s="24" t="n">
        <v>7</v>
      </c>
      <c r="C28" s="24" t="inlineStr">
        <is>
          <t>Number</t>
        </is>
      </c>
      <c r="D28" s="24" t="inlineStr">
        <is>
          <t>compare, order and solve problems involving addition and subtraction of integers</t>
        </is>
      </c>
      <c r="E28" s="24" t="n">
        <v>3</v>
      </c>
      <c r="F28" s="24" t="inlineStr">
        <is>
          <t>ordering, adding and subtracting integers using a number line</t>
        </is>
      </c>
    </row>
    <row r="29" ht="23.25" customHeight="1" s="16">
      <c r="A29" s="24" t="inlineStr">
        <is>
          <t>AC9M7N08</t>
        </is>
      </c>
      <c r="B29" s="24" t="n">
        <v>7</v>
      </c>
      <c r="C29" s="24" t="inlineStr">
        <is>
          <t>Number</t>
        </is>
      </c>
      <c r="D29" s="24" t="inlineStr">
        <is>
          <t>recognise, represent and solve problems involving ratios</t>
        </is>
      </c>
      <c r="E29" s="24" t="n">
        <v>1</v>
      </c>
      <c r="F29" s="24"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6">
      <c r="A30" s="24" t="inlineStr">
        <is>
          <t>AC9M7N08</t>
        </is>
      </c>
      <c r="B30" s="24" t="n">
        <v>7</v>
      </c>
      <c r="C30" s="24" t="inlineStr">
        <is>
          <t>Number</t>
        </is>
      </c>
      <c r="D30" s="24" t="inlineStr">
        <is>
          <t>recognise, represent and solve problems involving ratios</t>
        </is>
      </c>
      <c r="E30" s="24" t="n">
        <v>2</v>
      </c>
      <c r="F30" s="24" t="inlineStr">
        <is>
          <t>using fractions to solve ratio problems involving comparison of quantities and considering part-part and part-whole relations; for example, dividing a set into the ratio 1:2 by determining the number of parts as 3</t>
        </is>
      </c>
    </row>
    <row r="31" ht="15" customHeight="1" s="16">
      <c r="A31" s="24" t="inlineStr">
        <is>
          <t>AC9M7N08</t>
        </is>
      </c>
      <c r="B31" s="24" t="n">
        <v>7</v>
      </c>
      <c r="C31" s="24" t="inlineStr">
        <is>
          <t>Number</t>
        </is>
      </c>
      <c r="D31" s="24" t="inlineStr">
        <is>
          <t>recognise, represent and solve problems involving ratios</t>
        </is>
      </c>
      <c r="E31" s="24" t="n">
        <v>3</v>
      </c>
      <c r="F31" s="24" t="inlineStr">
        <is>
          <t>sharing quantities in a given ratio; for example, sharing an amount of money in a given ratio, such as sharing $20 in the ratio 2:3</t>
        </is>
      </c>
    </row>
    <row r="32" ht="23.25" customHeight="1" s="16">
      <c r="A32" s="24" t="inlineStr">
        <is>
          <t>AC9M7N08</t>
        </is>
      </c>
      <c r="B32" s="24" t="n">
        <v>7</v>
      </c>
      <c r="C32" s="24" t="inlineStr">
        <is>
          <t>Number</t>
        </is>
      </c>
      <c r="D32" s="24" t="inlineStr">
        <is>
          <t>recognise, represent and solve problems involving ratios</t>
        </is>
      </c>
      <c r="E32" s="24" t="n">
        <v>4</v>
      </c>
      <c r="F32" s="24"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6">
      <c r="A33" s="24" t="inlineStr">
        <is>
          <t>AC9M7N09</t>
        </is>
      </c>
      <c r="B33" s="24" t="n">
        <v>7</v>
      </c>
      <c r="C33" s="24" t="inlineStr">
        <is>
          <t>Number</t>
        </is>
      </c>
      <c r="D33"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24" t="n">
        <v>1</v>
      </c>
      <c r="F33" s="24"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6">
      <c r="A34" s="24" t="inlineStr">
        <is>
          <t>AC9M7N09</t>
        </is>
      </c>
      <c r="B34" s="24" t="n">
        <v>7</v>
      </c>
      <c r="C34" s="24" t="inlineStr">
        <is>
          <t>Number</t>
        </is>
      </c>
      <c r="D34"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24" t="n">
        <v>2</v>
      </c>
      <c r="F34" s="24"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6">
      <c r="A35" s="24" t="inlineStr">
        <is>
          <t>AC9M7N09</t>
        </is>
      </c>
      <c r="B35" s="24" t="n">
        <v>7</v>
      </c>
      <c r="C35" s="24" t="inlineStr">
        <is>
          <t>Number</t>
        </is>
      </c>
      <c r="D35"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24" t="n">
        <v>3</v>
      </c>
      <c r="F35" s="24" t="inlineStr">
        <is>
          <t>modelling financial problems involving profit and loss, credits and debits, gains and losses; for example, holding a fundraising sausage sizzle and determining whether the event made a percentage profit or loss</t>
        </is>
      </c>
    </row>
    <row r="36" ht="45.75" customHeight="1" s="16">
      <c r="A36" s="24" t="inlineStr">
        <is>
          <t>AC9M7N09</t>
        </is>
      </c>
      <c r="B36" s="24" t="n">
        <v>7</v>
      </c>
      <c r="C36" s="24" t="inlineStr">
        <is>
          <t>Number</t>
        </is>
      </c>
      <c r="D36"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24" t="n">
        <v>4</v>
      </c>
      <c r="F36" s="24" t="inlineStr">
        <is>
          <t>using mathematical modelling to investigate the proportion of land mass/area of Australian First Nations Peoples’ traditional grain belt compared with Australia’s current grain belt</t>
        </is>
      </c>
    </row>
    <row r="37" ht="23.25" customHeight="1" s="16">
      <c r="A37" s="24" t="inlineStr">
        <is>
          <t>AC9M7A01</t>
        </is>
      </c>
      <c r="B37" s="24" t="n">
        <v>7</v>
      </c>
      <c r="C37" s="24" t="inlineStr">
        <is>
          <t>Algebra</t>
        </is>
      </c>
      <c r="D37" s="24" t="inlineStr">
        <is>
          <t>recognise and use variables to represent everyday formulas algebraically and substitute values into formulas to determine an unknown</t>
        </is>
      </c>
      <c r="E37" s="24" t="n">
        <v>1</v>
      </c>
      <c r="F37" s="24"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6">
      <c r="A38" s="24" t="inlineStr">
        <is>
          <t>AC9M7A01</t>
        </is>
      </c>
      <c r="B38" s="24" t="n">
        <v>7</v>
      </c>
      <c r="C38" s="24" t="inlineStr">
        <is>
          <t>Algebra</t>
        </is>
      </c>
      <c r="D38" s="24" t="inlineStr">
        <is>
          <t>recognise and use variables to represent everyday formulas algebraically and substitute values into formulas to determine an unknown</t>
        </is>
      </c>
      <c r="E38" s="24" t="n">
        <v>2</v>
      </c>
      <c r="F38" s="24" t="inlineStr">
        <is>
          <t>interpreting and using formulas obtained from other sources; for example, maximum heart rates and target heart rates for moderate exercise</t>
        </is>
      </c>
    </row>
    <row r="39" ht="34.5" customHeight="1" s="16">
      <c r="A39" s="24" t="inlineStr">
        <is>
          <t>AC9M7A01</t>
        </is>
      </c>
      <c r="B39" s="24" t="n">
        <v>7</v>
      </c>
      <c r="C39" s="24" t="inlineStr">
        <is>
          <t>Algebra</t>
        </is>
      </c>
      <c r="D39" s="24" t="inlineStr">
        <is>
          <t>recognise and use variables to represent everyday formulas algebraically and substitute values into formulas to determine an unknown</t>
        </is>
      </c>
      <c r="E39" s="24" t="n">
        <v>3</v>
      </c>
      <c r="F39" s="24"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6">
      <c r="A40" s="24" t="inlineStr">
        <is>
          <t>AC9M7A01</t>
        </is>
      </c>
      <c r="B40" s="24" t="n">
        <v>7</v>
      </c>
      <c r="C40" s="24" t="inlineStr">
        <is>
          <t>Algebra</t>
        </is>
      </c>
      <c r="D40" s="24" t="inlineStr">
        <is>
          <t>recognise and use variables to represent everyday formulas algebraically and substitute values into formulas to determine an unknown</t>
        </is>
      </c>
      <c r="E40" s="24" t="n">
        <v>4</v>
      </c>
      <c r="F40" s="24" t="inlineStr">
        <is>
          <t>using everyday formulas and their application to contexts on Country/Place, investigating the relationships between variables</t>
        </is>
      </c>
    </row>
    <row r="41" ht="23.25" customHeight="1" s="16">
      <c r="A41" s="24" t="inlineStr">
        <is>
          <t>AC9M7A02</t>
        </is>
      </c>
      <c r="B41" s="24" t="n">
        <v>7</v>
      </c>
      <c r="C41" s="24" t="inlineStr">
        <is>
          <t>Algebra</t>
        </is>
      </c>
      <c r="D41" s="24" t="inlineStr">
        <is>
          <t>formulate algebraic expressions using constants, variables, operations and brackets</t>
        </is>
      </c>
      <c r="E41" s="24" t="n">
        <v>1</v>
      </c>
      <c r="F41" s="24"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6">
      <c r="A42" s="24" t="inlineStr">
        <is>
          <t>AC9M7A02</t>
        </is>
      </c>
      <c r="B42" s="24" t="n">
        <v>7</v>
      </c>
      <c r="C42" s="24" t="inlineStr">
        <is>
          <t>Algebra</t>
        </is>
      </c>
      <c r="D42" s="24" t="inlineStr">
        <is>
          <t>formulate algebraic expressions using constants, variables, operations and brackets</t>
        </is>
      </c>
      <c r="E42" s="24" t="n">
        <v>2</v>
      </c>
      <c r="F42" s="24" t="inlineStr">
        <is>
          <t>formulating algebraic expressions that represent mathematical relationships; for example, translating from words to symbols, “think of a number” type of activities</t>
        </is>
      </c>
    </row>
    <row r="43" ht="34.5" customHeight="1" s="16">
      <c r="A43" s="24" t="inlineStr">
        <is>
          <t>AC9M7A02</t>
        </is>
      </c>
      <c r="B43" s="24" t="n">
        <v>7</v>
      </c>
      <c r="C43" s="24" t="inlineStr">
        <is>
          <t>Algebra</t>
        </is>
      </c>
      <c r="D43" s="24" t="inlineStr">
        <is>
          <t>formulate algebraic expressions using constants, variables, operations and brackets</t>
        </is>
      </c>
      <c r="E43" s="24" t="n">
        <v>3</v>
      </c>
      <c r="F43" s="24"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6">
      <c r="A44" s="24" t="inlineStr">
        <is>
          <t>AC9M7A03</t>
        </is>
      </c>
      <c r="B44" s="24" t="n">
        <v>7</v>
      </c>
      <c r="C44" s="24" t="inlineStr">
        <is>
          <t>Algebra</t>
        </is>
      </c>
      <c r="D44" s="24" t="inlineStr">
        <is>
          <t>solve one-variable linear equations with natural number solutions; verify the solution by substitution</t>
        </is>
      </c>
      <c r="E44" s="24" t="n">
        <v>1</v>
      </c>
      <c r="F44" s="24" t="inlineStr">
        <is>
          <t>recognising that solving an equation is a process of determining a value that makes the equation true; using substitution to determine whether a given number is a solution to an equation or not</t>
        </is>
      </c>
    </row>
    <row r="45" ht="15" customHeight="1" s="16">
      <c r="A45" s="24" t="inlineStr">
        <is>
          <t>AC9M7A03</t>
        </is>
      </c>
      <c r="B45" s="24" t="n">
        <v>7</v>
      </c>
      <c r="C45" s="24" t="inlineStr">
        <is>
          <t>Algebra</t>
        </is>
      </c>
      <c r="D45" s="24" t="inlineStr">
        <is>
          <t>solve one-variable linear equations with natural number solutions; verify the solution by substitution</t>
        </is>
      </c>
      <c r="E45" s="24" t="n">
        <v>2</v>
      </c>
      <c r="F45" s="24" t="inlineStr">
        <is>
          <t>solving equations using concrete materials, the balance model, and backtracking, explaining the process</t>
        </is>
      </c>
    </row>
    <row r="46" ht="15" customHeight="1" s="16">
      <c r="A46" s="24" t="inlineStr">
        <is>
          <t>AC9M7A03</t>
        </is>
      </c>
      <c r="B46" s="24" t="n">
        <v>7</v>
      </c>
      <c r="C46" s="24" t="inlineStr">
        <is>
          <t>Algebra</t>
        </is>
      </c>
      <c r="D46" s="24" t="inlineStr">
        <is>
          <t>solve one-variable linear equations with natural number solutions; verify the solution by substitution</t>
        </is>
      </c>
      <c r="E46" s="24" t="n">
        <v>3</v>
      </c>
      <c r="F46" s="24" t="inlineStr">
        <is>
          <t>solving linear equations such as 3x+7=19 algebraically, and verifying the solution by substitution</t>
        </is>
      </c>
    </row>
    <row r="47" ht="23.25" customHeight="1" s="16">
      <c r="A47" s="24" t="inlineStr">
        <is>
          <t>AC9M7A04</t>
        </is>
      </c>
      <c r="B47" s="24" t="n">
        <v>7</v>
      </c>
      <c r="C47" s="24" t="inlineStr">
        <is>
          <t>Algebra</t>
        </is>
      </c>
      <c r="D47" s="24" t="inlineStr">
        <is>
          <t>describe relationships between variables represented in graphs of functions from authentic data</t>
        </is>
      </c>
      <c r="E47" s="24" t="n">
        <v>1</v>
      </c>
      <c r="F47" s="24" t="inlineStr">
        <is>
          <t>using graphs to analyse a building’s electricity or gas usage over a period of time, the value of shares on a stock market, or the temperature during a day, interpreting and discussing the relationships they represent</t>
        </is>
      </c>
    </row>
    <row r="48" ht="23.25" customHeight="1" s="16">
      <c r="A48" s="24" t="inlineStr">
        <is>
          <t>AC9M7A04</t>
        </is>
      </c>
      <c r="B48" s="24" t="n">
        <v>7</v>
      </c>
      <c r="C48" s="24" t="inlineStr">
        <is>
          <t>Algebra</t>
        </is>
      </c>
      <c r="D48" s="24" t="inlineStr">
        <is>
          <t>describe relationships between variables represented in graphs of functions from authentic data</t>
        </is>
      </c>
      <c r="E48" s="24" t="n">
        <v>2</v>
      </c>
      <c r="F48" s="24" t="inlineStr">
        <is>
          <t>using travel graphs to compare the distance travelled to and from school, interpreting and discussing features of travel graphs such as the slope of lines and the meaning of horizontal line segments</t>
        </is>
      </c>
    </row>
    <row r="49" ht="23.25" customHeight="1" s="16">
      <c r="A49" s="24" t="inlineStr">
        <is>
          <t>AC9M7A04</t>
        </is>
      </c>
      <c r="B49" s="24" t="n">
        <v>7</v>
      </c>
      <c r="C49" s="24" t="inlineStr">
        <is>
          <t>Algebra</t>
        </is>
      </c>
      <c r="D49" s="24" t="inlineStr">
        <is>
          <t>describe relationships between variables represented in graphs of functions from authentic data</t>
        </is>
      </c>
      <c r="E49" s="24" t="n">
        <v>3</v>
      </c>
      <c r="F49" s="24" t="inlineStr">
        <is>
          <t>telling the story behind what is being represented in graphs of functions; for example, graphs representing pouring rates or distance versus time</t>
        </is>
      </c>
    </row>
    <row r="50" ht="15" customHeight="1" s="16">
      <c r="A50" s="24" t="inlineStr">
        <is>
          <t>AC9M7A04</t>
        </is>
      </c>
      <c r="B50" s="24" t="n">
        <v>7</v>
      </c>
      <c r="C50" s="24" t="inlineStr">
        <is>
          <t>Algebra</t>
        </is>
      </c>
      <c r="D50" s="24" t="inlineStr">
        <is>
          <t>describe relationships between variables represented in graphs of functions from authentic data</t>
        </is>
      </c>
      <c r="E50" s="24" t="n">
        <v>4</v>
      </c>
      <c r="F50" s="24" t="inlineStr">
        <is>
          <t>using graphs of evaporation rates to explore and discuss First Nations Australians’ methods of water resource management</t>
        </is>
      </c>
    </row>
    <row r="51" ht="23.25" customHeight="1" s="16">
      <c r="A51" s="24" t="inlineStr">
        <is>
          <t>AC9M7A05</t>
        </is>
      </c>
      <c r="B51" s="24" t="n">
        <v>7</v>
      </c>
      <c r="C51" s="24" t="inlineStr">
        <is>
          <t>Algebra</t>
        </is>
      </c>
      <c r="D51" s="24" t="inlineStr">
        <is>
          <t>generate tables of values from visually growing patterns or the rule of a function; describe and plot these relationships on the Cartesian plane</t>
        </is>
      </c>
      <c r="E51" s="24" t="n">
        <v>1</v>
      </c>
      <c r="F51" s="24" t="inlineStr">
        <is>
          <t>plotting points from a table of values generated using simple linear functions and recognising patterns, such as the points lie on a straight line</t>
        </is>
      </c>
    </row>
    <row r="52" ht="23.25" customHeight="1" s="16">
      <c r="A52" s="24" t="inlineStr">
        <is>
          <t>AC9M7A05</t>
        </is>
      </c>
      <c r="B52" s="24" t="n">
        <v>7</v>
      </c>
      <c r="C52" s="24" t="inlineStr">
        <is>
          <t>Algebra</t>
        </is>
      </c>
      <c r="D52" s="24" t="inlineStr">
        <is>
          <t>generate tables of values from visually growing patterns or the rule of a function; describe and plot these relationships on the Cartesian plane</t>
        </is>
      </c>
      <c r="E52" s="24" t="n">
        <v>2</v>
      </c>
      <c r="F52" s="24"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6">
      <c r="A53" s="24" t="inlineStr">
        <is>
          <t>AC9M7A05</t>
        </is>
      </c>
      <c r="B53" s="24" t="n">
        <v>7</v>
      </c>
      <c r="C53" s="24" t="inlineStr">
        <is>
          <t>Algebra</t>
        </is>
      </c>
      <c r="D53" s="24" t="inlineStr">
        <is>
          <t>generate tables of values from visually growing patterns or the rule of a function; describe and plot these relationships on the Cartesian plane</t>
        </is>
      </c>
      <c r="E53" s="24" t="n">
        <v>3</v>
      </c>
      <c r="F53" s="24" t="inlineStr">
        <is>
          <t>using function machines to generate a table of ordered pairs using input and output values, plotting the relationships on a Cartesian plane and describing the graph in terms of shape</t>
        </is>
      </c>
    </row>
    <row r="54" ht="23.25" customHeight="1" s="16">
      <c r="A54" s="24" t="inlineStr">
        <is>
          <t>AC9M7A05</t>
        </is>
      </c>
      <c r="B54" s="24" t="n">
        <v>7</v>
      </c>
      <c r="C54" s="24" t="inlineStr">
        <is>
          <t>Algebra</t>
        </is>
      </c>
      <c r="D54" s="24" t="inlineStr">
        <is>
          <t>generate tables of values from visually growing patterns or the rule of a function; describe and plot these relationships on the Cartesian plane</t>
        </is>
      </c>
      <c r="E54" s="24" t="n">
        <v>4</v>
      </c>
      <c r="F54" s="24" t="inlineStr">
        <is>
          <t>using diagrams and manipulatives to form linear growth patterns, representing these patterns in tables and describing the relationship in terms of the way the pattern is growing and in the context of the situation</t>
        </is>
      </c>
    </row>
    <row r="55" ht="23.25" customHeight="1" s="16">
      <c r="A55" s="24" t="inlineStr">
        <is>
          <t>AC9M7A06</t>
        </is>
      </c>
      <c r="B55" s="24" t="n">
        <v>7</v>
      </c>
      <c r="C55" s="24" t="inlineStr">
        <is>
          <t>Algebra</t>
        </is>
      </c>
      <c r="D55" s="24" t="inlineStr">
        <is>
          <t>manipulate formulas involving several variables using digital tools, and describe the effect of systematic variation in the values of the variables</t>
        </is>
      </c>
      <c r="E55" s="24" t="n">
        <v>1</v>
      </c>
      <c r="F55" s="24" t="inlineStr">
        <is>
          <t>experimenting with different sets of tables of values from formulas; for example, using volume of a rectangular prism = length × width × height, and specifying a fixed width and equal length and varying the height</t>
        </is>
      </c>
    </row>
    <row r="56" ht="23.25" customHeight="1" s="16">
      <c r="A56" s="24" t="inlineStr">
        <is>
          <t>AC9M7A06</t>
        </is>
      </c>
      <c r="B56" s="24" t="n">
        <v>7</v>
      </c>
      <c r="C56" s="24" t="inlineStr">
        <is>
          <t>Algebra</t>
        </is>
      </c>
      <c r="D56" s="24" t="inlineStr">
        <is>
          <t>manipulate formulas involving several variables using digital tools, and describe the effect of systematic variation in the values of the variables</t>
        </is>
      </c>
      <c r="E56" s="24" t="n">
        <v>2</v>
      </c>
      <c r="F56" s="24" t="inlineStr">
        <is>
          <t>using spreadsheets and the formula function to recognise the effect of changing parameters on the entries in cells</t>
        </is>
      </c>
    </row>
    <row r="57" ht="23.25" customHeight="1" s="16">
      <c r="A57" s="24" t="inlineStr">
        <is>
          <t>AC9M7A06</t>
        </is>
      </c>
      <c r="B57" s="24" t="n">
        <v>7</v>
      </c>
      <c r="C57" s="24" t="inlineStr">
        <is>
          <t>Algebra</t>
        </is>
      </c>
      <c r="D57" s="24" t="inlineStr">
        <is>
          <t>manipulate formulas involving several variables using digital tools, and describe the effect of systematic variation in the values of the variables</t>
        </is>
      </c>
      <c r="E57" s="24" t="n">
        <v>3</v>
      </c>
      <c r="F57" s="24" t="inlineStr">
        <is>
          <t>analysing distance travelled for different combinations of average speed and time of travel using a table of values and the distance formula</t>
        </is>
      </c>
    </row>
    <row r="58" ht="34.5" customHeight="1" s="16">
      <c r="A58" s="24" t="inlineStr">
        <is>
          <t>AC9M7M01</t>
        </is>
      </c>
      <c r="B58" s="24" t="n">
        <v>7</v>
      </c>
      <c r="C58" s="24" t="inlineStr">
        <is>
          <t>Measurement</t>
        </is>
      </c>
      <c r="D58" s="24" t="inlineStr">
        <is>
          <t>solve problems involving the area of triangles and parallelograms using established formulas and appropriate units</t>
        </is>
      </c>
      <c r="E58" s="24" t="n">
        <v>1</v>
      </c>
      <c r="F58" s="24"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6">
      <c r="A59" s="24" t="inlineStr">
        <is>
          <t>AC9M7M01</t>
        </is>
      </c>
      <c r="B59" s="24" t="n">
        <v>7</v>
      </c>
      <c r="C59" s="24" t="inlineStr">
        <is>
          <t>Measurement</t>
        </is>
      </c>
      <c r="D59" s="24" t="inlineStr">
        <is>
          <t>solve problems involving the area of triangles and parallelograms using established formulas and appropriate units</t>
        </is>
      </c>
      <c r="E59" s="24" t="n">
        <v>2</v>
      </c>
      <c r="F59" s="24" t="inlineStr">
        <is>
          <t>using dynamic geometry software to demonstrate how the sliding of the vertex of a triangle at a fixed altitude opposite a side leaves the area of the triangle unchanged</t>
        </is>
      </c>
    </row>
    <row r="60" ht="34.5" customHeight="1" s="16">
      <c r="A60" s="24" t="inlineStr">
        <is>
          <t>AC9M7M01</t>
        </is>
      </c>
      <c r="B60" s="24" t="n">
        <v>7</v>
      </c>
      <c r="C60" s="24" t="inlineStr">
        <is>
          <t>Measurement</t>
        </is>
      </c>
      <c r="D60" s="24" t="inlineStr">
        <is>
          <t>solve problems involving the area of triangles and parallelograms using established formulas and appropriate units</t>
        </is>
      </c>
      <c r="E60" s="24" t="n">
        <v>3</v>
      </c>
      <c r="F60" s="24"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6">
      <c r="A61" s="24" t="inlineStr">
        <is>
          <t>AC9M7M02</t>
        </is>
      </c>
      <c r="B61" s="24" t="n">
        <v>7</v>
      </c>
      <c r="C61" s="24" t="inlineStr">
        <is>
          <t>Measurement</t>
        </is>
      </c>
      <c r="D61" s="24" t="inlineStr">
        <is>
          <t>solve problems involving the volume of right prisms including rectangular and triangular prisms, using established formulas and appropriate units</t>
        </is>
      </c>
      <c r="E61" s="24" t="n">
        <v>1</v>
      </c>
      <c r="F61" s="24" t="inlineStr">
        <is>
          <t>building a rectangular prism out of unit cubes and showing that the measure of volume is the same as would be found by multiplying the 3 edge lengths or by multiplying the area of the base by the height/length</t>
        </is>
      </c>
    </row>
    <row r="62" ht="23.25" customHeight="1" s="16">
      <c r="A62" s="24" t="inlineStr">
        <is>
          <t>AC9M7M02</t>
        </is>
      </c>
      <c r="B62" s="24" t="n">
        <v>7</v>
      </c>
      <c r="C62" s="24" t="inlineStr">
        <is>
          <t>Measurement</t>
        </is>
      </c>
      <c r="D62" s="24" t="inlineStr">
        <is>
          <t>solve problems involving the volume of right prisms including rectangular and triangular prisms, using established formulas and appropriate units</t>
        </is>
      </c>
      <c r="E62" s="24" t="n">
        <v>2</v>
      </c>
      <c r="F62" s="24" t="inlineStr">
        <is>
          <t>developing the connection between the area of the parallel cross-section (base), the height and volume of a rectangular or triangular prism to other prisms</t>
        </is>
      </c>
    </row>
    <row r="63" ht="23.25" customHeight="1" s="16">
      <c r="A63" s="24" t="inlineStr">
        <is>
          <t>AC9M7M02</t>
        </is>
      </c>
      <c r="B63" s="24" t="n">
        <v>7</v>
      </c>
      <c r="C63" s="24" t="inlineStr">
        <is>
          <t>Measurement</t>
        </is>
      </c>
      <c r="D63" s="24" t="inlineStr">
        <is>
          <t>solve problems involving the volume of right prisms including rectangular and triangular prisms, using established formulas and appropriate units</t>
        </is>
      </c>
      <c r="E63" s="24" t="n">
        <v>3</v>
      </c>
      <c r="F63" s="24" t="inlineStr">
        <is>
          <t>connecting the area of the floor space and the number of floors of a high-rise building to calculate the volume of a building</t>
        </is>
      </c>
    </row>
    <row r="64" ht="23.25" customHeight="1" s="16">
      <c r="A64" s="24" t="inlineStr">
        <is>
          <t>AC9M7M02</t>
        </is>
      </c>
      <c r="B64" s="24" t="n">
        <v>7</v>
      </c>
      <c r="C64" s="24" t="inlineStr">
        <is>
          <t>Measurement</t>
        </is>
      </c>
      <c r="D64" s="24" t="inlineStr">
        <is>
          <t>solve problems involving the volume of right prisms including rectangular and triangular prisms, using established formulas and appropriate units</t>
        </is>
      </c>
      <c r="E64" s="24" t="n">
        <v>4</v>
      </c>
      <c r="F64" s="24" t="inlineStr">
        <is>
          <t>using dynamic geometry software, spatial reasoning and prediction to derive the formula for the volume of prisms</t>
        </is>
      </c>
    </row>
    <row r="65" ht="34.5" customHeight="1" s="16">
      <c r="A65" s="24" t="inlineStr">
        <is>
          <t>AC9M7M03</t>
        </is>
      </c>
      <c r="B65" s="24" t="n">
        <v>7</v>
      </c>
      <c r="C65" s="24" t="inlineStr">
        <is>
          <t>Measurement</t>
        </is>
      </c>
      <c r="D65" s="24" t="inlineStr">
        <is>
          <t>describe the relationship between π and the features of circles including the circumference, radius and diameter</t>
        </is>
      </c>
      <c r="E65" s="24" t="n">
        <v>1</v>
      </c>
      <c r="F65" s="24"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6">
      <c r="A66" s="24" t="inlineStr">
        <is>
          <t>AC9M7M03</t>
        </is>
      </c>
      <c r="B66" s="24" t="n">
        <v>7</v>
      </c>
      <c r="C66" s="24" t="inlineStr">
        <is>
          <t>Measurement</t>
        </is>
      </c>
      <c r="D66" s="24" t="inlineStr">
        <is>
          <t>describe the relationship between π and the features of circles including the circumference, radius and diameter</t>
        </is>
      </c>
      <c r="E66" s="24" t="n">
        <v>2</v>
      </c>
      <c r="F66" s="24"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6">
      <c r="A67" s="24" t="inlineStr">
        <is>
          <t>AC9M7M03</t>
        </is>
      </c>
      <c r="B67" s="24" t="n">
        <v>7</v>
      </c>
      <c r="C67" s="24" t="inlineStr">
        <is>
          <t>Measurement</t>
        </is>
      </c>
      <c r="D67" s="24" t="inlineStr">
        <is>
          <t>describe the relationship between π and the features of circles including the circumference, radius and diameter</t>
        </is>
      </c>
      <c r="E67" s="24" t="n">
        <v>3</v>
      </c>
      <c r="F67" s="24"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6">
      <c r="A68" s="24" t="inlineStr">
        <is>
          <t>AC9M7M03</t>
        </is>
      </c>
      <c r="B68" s="24" t="n">
        <v>7</v>
      </c>
      <c r="C68" s="24" t="inlineStr">
        <is>
          <t>Measurement</t>
        </is>
      </c>
      <c r="D68" s="24" t="inlineStr">
        <is>
          <t>describe the relationship between π and the features of circles including the circumference, radius and diameter</t>
        </is>
      </c>
      <c r="E68" s="24" t="n">
        <v>4</v>
      </c>
      <c r="F68" s="24"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6">
      <c r="A69" s="24" t="inlineStr">
        <is>
          <t>AC9M7M04</t>
        </is>
      </c>
      <c r="B69" s="24" t="n">
        <v>7</v>
      </c>
      <c r="C69" s="24" t="inlineStr">
        <is>
          <t>Measurement</t>
        </is>
      </c>
      <c r="D69" s="24" t="inlineStr">
        <is>
          <t>identify corresponding, alternate and co-interior relationships between angles formed when parallel lines are crossed by a transversal; use them to solve problems and explain reasons</t>
        </is>
      </c>
      <c r="E69" s="24" t="n">
        <v>1</v>
      </c>
      <c r="F69" s="24" t="inlineStr">
        <is>
          <t>constructing a pair of parallel lines and a pair of perpendicular lines using their properties, a pair of compasses and a ruler, set squares or using dynamic geometry software</t>
        </is>
      </c>
    </row>
    <row r="70" ht="23.25" customHeight="1" s="16">
      <c r="A70" s="24" t="inlineStr">
        <is>
          <t>AC9M7M04</t>
        </is>
      </c>
      <c r="B70" s="24" t="n">
        <v>7</v>
      </c>
      <c r="C70" s="24" t="inlineStr">
        <is>
          <t>Measurement</t>
        </is>
      </c>
      <c r="D70" s="24" t="inlineStr">
        <is>
          <t>identify corresponding, alternate and co-interior relationships between angles formed when parallel lines are crossed by a transversal; use them to solve problems and explain reasons</t>
        </is>
      </c>
      <c r="E70" s="24" t="n">
        <v>2</v>
      </c>
      <c r="F70" s="24" t="inlineStr">
        <is>
          <t>using dynamic geometry software to identify relationships between alternate, corresponding and co-interior angles for a pair of parallel lines cut by a transversal</t>
        </is>
      </c>
    </row>
    <row r="71" ht="23.25" customHeight="1" s="16">
      <c r="A71" s="24" t="inlineStr">
        <is>
          <t>AC9M7M04</t>
        </is>
      </c>
      <c r="B71" s="24" t="n">
        <v>7</v>
      </c>
      <c r="C71" s="24" t="inlineStr">
        <is>
          <t>Measurement</t>
        </is>
      </c>
      <c r="D71" s="24" t="inlineStr">
        <is>
          <t>identify corresponding, alternate and co-interior relationships between angles formed when parallel lines are crossed by a transversal; use them to solve problems and explain reasons</t>
        </is>
      </c>
      <c r="E71" s="24" t="n">
        <v>3</v>
      </c>
      <c r="F71" s="24" t="inlineStr">
        <is>
          <t>using dynamic geometry software to demonstrate how angles and their properties are involved in the design and construction of scissor lifts, folding umbrellas, toolboxes and cherry pickers</t>
        </is>
      </c>
    </row>
    <row r="72" ht="34.5" customHeight="1" s="16">
      <c r="A72" s="24" t="inlineStr">
        <is>
          <t>AC9M7M04</t>
        </is>
      </c>
      <c r="B72" s="24" t="n">
        <v>7</v>
      </c>
      <c r="C72" s="24" t="inlineStr">
        <is>
          <t>Measurement</t>
        </is>
      </c>
      <c r="D72" s="24" t="inlineStr">
        <is>
          <t>identify corresponding, alternate and co-interior relationships between angles formed when parallel lines are crossed by a transversal; use them to solve problems and explain reasons</t>
        </is>
      </c>
      <c r="E72" s="24" t="n">
        <v>4</v>
      </c>
      <c r="F72" s="24"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6">
      <c r="A73" s="24" t="inlineStr">
        <is>
          <t>AC9M7M05</t>
        </is>
      </c>
      <c r="B73" s="24" t="n">
        <v>7</v>
      </c>
      <c r="C73" s="24" t="inlineStr">
        <is>
          <t>Measurement</t>
        </is>
      </c>
      <c r="D73" s="24" t="inlineStr">
        <is>
          <t>demonstrate that the interior angle sum of a triangle in the plane is 180° and apply this to determine the interior angle sum of other shapes and the size of unknown angles</t>
        </is>
      </c>
      <c r="E73" s="24" t="n">
        <v>1</v>
      </c>
      <c r="F73" s="24" t="inlineStr">
        <is>
          <t>using concrete materials to demonstrate that the sum of the interior angles of a triangle is 180°; for example, using paper triangles and tearing to demonstrate that the interior angles when combined form 180°</t>
        </is>
      </c>
    </row>
    <row r="74" ht="23.25" customHeight="1" s="16">
      <c r="A74" s="24" t="inlineStr">
        <is>
          <t>AC9M7M05</t>
        </is>
      </c>
      <c r="B74" s="24" t="n">
        <v>7</v>
      </c>
      <c r="C74" s="24" t="inlineStr">
        <is>
          <t>Measurement</t>
        </is>
      </c>
      <c r="D74" s="24" t="inlineStr">
        <is>
          <t>demonstrate that the interior angle sum of a triangle in the plane is 180° and apply this to determine the interior angle sum of other shapes and the size of unknown angles</t>
        </is>
      </c>
      <c r="E74" s="24" t="n">
        <v>2</v>
      </c>
      <c r="F74" s="24" t="inlineStr">
        <is>
          <t>using decomposition and the angle sum of a triangle to generalise the interior angle sum of an n-sided polygon, as 180(n-2)=180n-360</t>
        </is>
      </c>
    </row>
    <row r="75" ht="23.25" customHeight="1" s="16">
      <c r="A75" s="24" t="inlineStr">
        <is>
          <t>AC9M7M06</t>
        </is>
      </c>
      <c r="B75" s="24" t="n">
        <v>7</v>
      </c>
      <c r="C75" s="24" t="inlineStr">
        <is>
          <t>Measurement</t>
        </is>
      </c>
      <c r="D75" s="24" t="inlineStr">
        <is>
          <t>use mathematical modelling to solve practical problems involving ratios; formulate problems, interpret and communicate solutions in terms of the situation, justifying choices made about the representation</t>
        </is>
      </c>
      <c r="E75" s="24" t="n">
        <v>1</v>
      </c>
      <c r="F75" s="24" t="inlineStr">
        <is>
          <t>using fractions to model and solve ratio problems involving comparison of quantities, and considering part-part and part-whole relations</t>
        </is>
      </c>
    </row>
    <row r="76" ht="23.25" customHeight="1" s="16">
      <c r="A76" s="24" t="inlineStr">
        <is>
          <t>AC9M7M06</t>
        </is>
      </c>
      <c r="B76" s="24" t="n">
        <v>7</v>
      </c>
      <c r="C76" s="24" t="inlineStr">
        <is>
          <t>Measurement</t>
        </is>
      </c>
      <c r="D76" s="24" t="inlineStr">
        <is>
          <t>use mathematical modelling to solve practical problems involving ratios; formulate problems, interpret and communicate solutions in terms of the situation, justifying choices made about the representation</t>
        </is>
      </c>
      <c r="E76" s="24" t="n">
        <v>2</v>
      </c>
      <c r="F76" s="24" t="inlineStr">
        <is>
          <t>modelling and solving practical problems involving ratios of length, capacity or mass, such as in construction, design, food or textile production; for example, mixing concrete, the golden ratio in design, mixing a salad dressing</t>
        </is>
      </c>
    </row>
    <row r="77" ht="23.25" customHeight="1" s="16">
      <c r="A77" s="24" t="inlineStr">
        <is>
          <t>AC9M7M06</t>
        </is>
      </c>
      <c r="B77" s="24" t="n">
        <v>7</v>
      </c>
      <c r="C77" s="24" t="inlineStr">
        <is>
          <t>Measurement</t>
        </is>
      </c>
      <c r="D77" s="24" t="inlineStr">
        <is>
          <t>use mathematical modelling to solve practical problems involving ratios; formulate problems, interpret and communicate solutions in terms of the situation, justifying choices made about the representation</t>
        </is>
      </c>
      <c r="E77" s="24" t="n">
        <v>3</v>
      </c>
      <c r="F77" s="24" t="inlineStr">
        <is>
          <t>modelling the situation using manipulatives, diagrams and/or mathematical discussion; for example, mixing primary colours in a variety of ratios to investigate how new colours are created and the strength of those colours</t>
        </is>
      </c>
    </row>
    <row r="78" ht="23.25" customHeight="1" s="16">
      <c r="A78" s="24" t="inlineStr">
        <is>
          <t>AC9M7M06</t>
        </is>
      </c>
      <c r="B78" s="24" t="n">
        <v>7</v>
      </c>
      <c r="C78" s="24" t="inlineStr">
        <is>
          <t>Measurement</t>
        </is>
      </c>
      <c r="D78" s="24" t="inlineStr">
        <is>
          <t>use mathematical modelling to solve practical problems involving ratios; formulate problems, interpret and communicate solutions in terms of the situation, justifying choices made about the representation</t>
        </is>
      </c>
      <c r="E78" s="24" t="n">
        <v>4</v>
      </c>
      <c r="F78" s="24" t="inlineStr">
        <is>
          <t>investigating commercialised substances founded on First Nations Australians’ knowledges of substances including pharmaceuticals and toxins, understanding how ratios are used in their development</t>
        </is>
      </c>
    </row>
    <row r="79" ht="23.25" customHeight="1" s="16">
      <c r="A79" s="24" t="inlineStr">
        <is>
          <t>AC9M7SP01</t>
        </is>
      </c>
      <c r="B79" s="24" t="n">
        <v>7</v>
      </c>
      <c r="C79" s="24" t="inlineStr">
        <is>
          <t>Space</t>
        </is>
      </c>
      <c r="D79" s="24" t="inlineStr">
        <is>
          <t>represent objects in 2 dimensions; discuss and reason about the advantages and disadvantages of different representations</t>
        </is>
      </c>
      <c r="E79" s="24" t="n">
        <v>1</v>
      </c>
      <c r="F79" s="24" t="inlineStr">
        <is>
          <t>deconstructing packaging to identify shapes and nets</t>
        </is>
      </c>
    </row>
    <row r="80" ht="23.25" customHeight="1" s="16">
      <c r="A80" s="24" t="inlineStr">
        <is>
          <t>AC9M7SP01</t>
        </is>
      </c>
      <c r="B80" s="24" t="n">
        <v>7</v>
      </c>
      <c r="C80" s="24" t="inlineStr">
        <is>
          <t>Space</t>
        </is>
      </c>
      <c r="D80" s="24" t="inlineStr">
        <is>
          <t>represent objects in 2 dimensions; discuss and reason about the advantages and disadvantages of different representations</t>
        </is>
      </c>
      <c r="E80" s="24" t="n">
        <v>2</v>
      </c>
      <c r="F80" s="24" t="inlineStr">
        <is>
          <t>using different nets to construct prisms and determining which nets will make a cube, rectangular prism, triangular prism or pyramid</t>
        </is>
      </c>
    </row>
    <row r="81" ht="23.25" customHeight="1" s="16">
      <c r="A81" s="24" t="inlineStr">
        <is>
          <t>AC9M7SP01</t>
        </is>
      </c>
      <c r="B81" s="24" t="n">
        <v>7</v>
      </c>
      <c r="C81" s="24" t="inlineStr">
        <is>
          <t>Space</t>
        </is>
      </c>
      <c r="D81" s="24" t="inlineStr">
        <is>
          <t>represent objects in 2 dimensions; discuss and reason about the advantages and disadvantages of different representations</t>
        </is>
      </c>
      <c r="E81" s="24" t="n">
        <v>3</v>
      </c>
      <c r="F81" s="24" t="inlineStr">
        <is>
          <t>using aerial views of buildings and other three-dimensional structures to visualise the footprint made by the building or structure, identifying prisms that could approximate the structure</t>
        </is>
      </c>
    </row>
    <row r="82" ht="23.25" customHeight="1" s="16">
      <c r="A82" s="24" t="inlineStr">
        <is>
          <t>AC9M7SP01</t>
        </is>
      </c>
      <c r="B82" s="24" t="n">
        <v>7</v>
      </c>
      <c r="C82" s="24" t="inlineStr">
        <is>
          <t>Space</t>
        </is>
      </c>
      <c r="D82" s="24" t="inlineStr">
        <is>
          <t>represent objects in 2 dimensions; discuss and reason about the advantages and disadvantages of different representations</t>
        </is>
      </c>
      <c r="E82" s="24" t="n">
        <v>4</v>
      </c>
      <c r="F82" s="24" t="inlineStr">
        <is>
          <t>building objects by interpreting isometric and perspective drawings</t>
        </is>
      </c>
    </row>
    <row r="83" ht="23.25" customHeight="1" s="16">
      <c r="A83" s="24" t="inlineStr">
        <is>
          <t>AC9M7SP01</t>
        </is>
      </c>
      <c r="B83" s="24" t="n">
        <v>7</v>
      </c>
      <c r="C83" s="24" t="inlineStr">
        <is>
          <t>Space</t>
        </is>
      </c>
      <c r="D83" s="24" t="inlineStr">
        <is>
          <t>represent objects in 2 dimensions; discuss and reason about the advantages and disadvantages of different representations</t>
        </is>
      </c>
      <c r="E83" s="24" t="n">
        <v>5</v>
      </c>
      <c r="F83" s="24" t="inlineStr">
        <is>
          <t>using isometric and square grid paper to draw views of front, back, side, top and bottom of objects</t>
        </is>
      </c>
    </row>
    <row r="84" ht="23.25" customHeight="1" s="16">
      <c r="A84" s="24" t="inlineStr">
        <is>
          <t>AC9M7SP01</t>
        </is>
      </c>
      <c r="B84" s="24" t="n">
        <v>7</v>
      </c>
      <c r="C84" s="24" t="inlineStr">
        <is>
          <t>Space</t>
        </is>
      </c>
      <c r="D84" s="24" t="inlineStr">
        <is>
          <t>represent objects in 2 dimensions; discuss and reason about the advantages and disadvantages of different representations</t>
        </is>
      </c>
      <c r="E84" s="24" t="n">
        <v>6</v>
      </c>
      <c r="F84" s="24" t="inlineStr">
        <is>
          <t>exploring different two-dimensional representations of objects in First Nations Australians’ artworks or cultural maps of Country/Place</t>
        </is>
      </c>
    </row>
    <row r="85" ht="23.25" customHeight="1" s="16">
      <c r="A85" s="24" t="inlineStr">
        <is>
          <t>AC9M7SP02</t>
        </is>
      </c>
      <c r="B85" s="24" t="n">
        <v>7</v>
      </c>
      <c r="C85" s="24" t="inlineStr">
        <is>
          <t>Space</t>
        </is>
      </c>
      <c r="D85" s="24" t="inlineStr">
        <is>
          <t>classify triangles, quadrilaterals and other polygons according to their side and angle properties; identify and reason about relationships</t>
        </is>
      </c>
      <c r="E85" s="24" t="n">
        <v>1</v>
      </c>
      <c r="F85" s="24" t="inlineStr">
        <is>
          <t>using strips of paper with parallel sides to make triangles and quadrilaterals, and contrasting the rigidity of triangles with the flexibility of quadrilaterals</t>
        </is>
      </c>
    </row>
    <row r="86" ht="23.25" customHeight="1" s="16">
      <c r="A86" s="24" t="inlineStr">
        <is>
          <t>AC9M7SP02</t>
        </is>
      </c>
      <c r="B86" s="24" t="n">
        <v>7</v>
      </c>
      <c r="C86" s="24" t="inlineStr">
        <is>
          <t>Space</t>
        </is>
      </c>
      <c r="D86" s="24" t="inlineStr">
        <is>
          <t>classify triangles, quadrilaterals and other polygons according to their side and angle properties; identify and reason about relationships</t>
        </is>
      </c>
      <c r="E86" s="24" t="n">
        <v>2</v>
      </c>
      <c r="F86" s="24" t="inlineStr">
        <is>
          <t>constructing triangles with 3 given side lengths and discussing the question, “Can any 3 lengths be used to form the sides of a triangle?”</t>
        </is>
      </c>
    </row>
    <row r="87" ht="23.25" customHeight="1" s="16">
      <c r="A87" s="24" t="inlineStr">
        <is>
          <t>AC9M7SP02</t>
        </is>
      </c>
      <c r="B87" s="24" t="n">
        <v>7</v>
      </c>
      <c r="C87" s="24" t="inlineStr">
        <is>
          <t>Space</t>
        </is>
      </c>
      <c r="D87" s="24" t="inlineStr">
        <is>
          <t>classify triangles, quadrilaterals and other polygons according to their side and angle properties; identify and reason about relationships</t>
        </is>
      </c>
      <c r="E87" s="24" t="n">
        <v>3</v>
      </c>
      <c r="F87" s="24" t="inlineStr">
        <is>
          <t>identifying and communicating about side and angle properties of scalene, isosceles, equilateral, right-angled, acute and obtuse triangles using geometric conventions</t>
        </is>
      </c>
    </row>
    <row r="88" ht="23.25" customHeight="1" s="16">
      <c r="A88" s="24" t="inlineStr">
        <is>
          <t>AC9M7SP02</t>
        </is>
      </c>
      <c r="B88" s="24" t="n">
        <v>7</v>
      </c>
      <c r="C88" s="24" t="inlineStr">
        <is>
          <t>Space</t>
        </is>
      </c>
      <c r="D88" s="24" t="inlineStr">
        <is>
          <t>classify triangles, quadrilaterals and other polygons according to their side and angle properties; identify and reason about relationships</t>
        </is>
      </c>
      <c r="E88" s="24" t="n">
        <v>4</v>
      </c>
      <c r="F88" s="24" t="inlineStr">
        <is>
          <t>describing, comparing and contrasting squares, rectangles, rhombuses, parallelograms, kites and trapeziums, explaining the relationships between these shapes</t>
        </is>
      </c>
    </row>
    <row r="89" ht="23.25" customHeight="1" s="16">
      <c r="A89" s="24" t="inlineStr">
        <is>
          <t>AC9M7SP03</t>
        </is>
      </c>
      <c r="B89" s="24" t="n">
        <v>7</v>
      </c>
      <c r="C89" s="24" t="inlineStr">
        <is>
          <t>Space</t>
        </is>
      </c>
      <c r="D89" s="24" t="inlineStr">
        <is>
          <t>describe transformations of a set of points using coordinates in the Cartesian plane, translations and reflections on an axis, and rotations about a given point</t>
        </is>
      </c>
      <c r="E89" s="24" t="n">
        <v>1</v>
      </c>
      <c r="F89" s="24" t="inlineStr">
        <is>
          <t>using digital tools to transform shapes in the Cartesian plane, describing and recording the transformations</t>
        </is>
      </c>
    </row>
    <row r="90" ht="23.25" customHeight="1" s="16">
      <c r="A90" s="24" t="inlineStr">
        <is>
          <t>AC9M7SP03</t>
        </is>
      </c>
      <c r="B90" s="24" t="n">
        <v>7</v>
      </c>
      <c r="C90" s="24" t="inlineStr">
        <is>
          <t>Space</t>
        </is>
      </c>
      <c r="D90" s="24" t="inlineStr">
        <is>
          <t>describe transformations of a set of points using coordinates in the Cartesian plane, translations and reflections on an axis, and rotations about a given point</t>
        </is>
      </c>
      <c r="E90" s="24" t="n">
        <v>2</v>
      </c>
      <c r="F90" s="24" t="inlineStr">
        <is>
          <t>describing patterns and investigating different ways to produce the same transformation, such as using 2 successive reflections to provide the same result as a translation</t>
        </is>
      </c>
    </row>
    <row r="91" ht="23.25" customHeight="1" s="16">
      <c r="A91" s="24" t="inlineStr">
        <is>
          <t>AC9M7SP03</t>
        </is>
      </c>
      <c r="B91" s="24" t="n">
        <v>7</v>
      </c>
      <c r="C91" s="24" t="inlineStr">
        <is>
          <t>Space</t>
        </is>
      </c>
      <c r="D91" s="24" t="inlineStr">
        <is>
          <t>describe transformations of a set of points using coordinates in the Cartesian plane, translations and reflections on an axis, and rotations about a given point</t>
        </is>
      </c>
      <c r="E91" s="24" t="n">
        <v>3</v>
      </c>
      <c r="F91" s="24" t="inlineStr">
        <is>
          <t>experimenting with, creating and re-creating patterns using combinations of translations, reflections and rotations, using digital tools</t>
        </is>
      </c>
    </row>
    <row r="92" ht="23.25" customHeight="1" s="16">
      <c r="A92" s="24" t="inlineStr">
        <is>
          <t>AC9M7SP04</t>
        </is>
      </c>
      <c r="B92" s="24" t="n">
        <v>7</v>
      </c>
      <c r="C92" s="24" t="inlineStr">
        <is>
          <t>Space</t>
        </is>
      </c>
      <c r="D92" s="24" t="inlineStr">
        <is>
          <t>design and create algorithms involving a sequence of steps and decisions that will sort and classify sets of shapes according to their attributes, and describe how the algorithms work</t>
        </is>
      </c>
      <c r="E92" s="24" t="n">
        <v>1</v>
      </c>
      <c r="F92" s="24" t="inlineStr">
        <is>
          <t>creating a classification scheme for triangles based on sides and angles, using a flow chart using sequences and decisions</t>
        </is>
      </c>
    </row>
    <row r="93" ht="23.25" customHeight="1" s="16">
      <c r="A93" s="24" t="inlineStr">
        <is>
          <t>AC9M7SP04</t>
        </is>
      </c>
      <c r="B93" s="24" t="n">
        <v>7</v>
      </c>
      <c r="C93" s="24" t="inlineStr">
        <is>
          <t>Space</t>
        </is>
      </c>
      <c r="D93" s="24" t="inlineStr">
        <is>
          <t>design and create algorithms involving a sequence of steps and decisions that will sort and classify sets of shapes according to their attributes, and describe how the algorithms work</t>
        </is>
      </c>
      <c r="E93" s="24" t="n">
        <v>2</v>
      </c>
      <c r="F93" s="24" t="inlineStr">
        <is>
          <t>creating a flow chart or hierarchy for quadrilaterals that shows the relationships between trapeziums, parallelograms, rhombuses, rectangles, squares and kites</t>
        </is>
      </c>
    </row>
    <row r="94" ht="23.25" customHeight="1" s="16">
      <c r="A94" s="24" t="inlineStr">
        <is>
          <t>AC9M7SP04</t>
        </is>
      </c>
      <c r="B94" s="24" t="n">
        <v>7</v>
      </c>
      <c r="C94" s="24" t="inlineStr">
        <is>
          <t>Space</t>
        </is>
      </c>
      <c r="D94" s="24" t="inlineStr">
        <is>
          <t>design and create algorithms involving a sequence of steps and decisions that will sort and classify sets of shapes according to their attributes, and describe how the algorithms work</t>
        </is>
      </c>
      <c r="E94" s="24" t="n">
        <v>3</v>
      </c>
      <c r="F94" s="24" t="inlineStr">
        <is>
          <t>creating a classification scheme for regular, irregular, concave or convex polygons that are sorted according to the number of sides</t>
        </is>
      </c>
    </row>
    <row r="95" ht="34.5" customHeight="1" s="16">
      <c r="A95" s="24" t="inlineStr">
        <is>
          <t>AC9M7ST01</t>
        </is>
      </c>
      <c r="B95" s="24" t="n">
        <v>7</v>
      </c>
      <c r="C95" s="24" t="inlineStr">
        <is>
          <t>Statistics</t>
        </is>
      </c>
      <c r="D95" s="24" t="inlineStr">
        <is>
          <t>acquire data sets for discrete and continuous numerical variables and calculate the range, median, mean and mode; make and justify decisions about which measures of central tendency provide useful insights into the nature of the distribution of data</t>
        </is>
      </c>
      <c r="E95" s="24" t="n">
        <v>1</v>
      </c>
      <c r="F95" s="24" t="inlineStr">
        <is>
          <t>understanding that summarising data by calculating measures of centre can help make sense of the data, commenting on skewness or symmetry of data and the use of mean and median as representative measures</t>
        </is>
      </c>
    </row>
    <row r="96" ht="34.5" customHeight="1" s="16">
      <c r="A96" s="24" t="inlineStr">
        <is>
          <t>AC9M7ST01</t>
        </is>
      </c>
      <c r="B96" s="24" t="n">
        <v>7</v>
      </c>
      <c r="C96" s="24" t="inlineStr">
        <is>
          <t>Statistics</t>
        </is>
      </c>
      <c r="D96" s="24" t="inlineStr">
        <is>
          <t>acquire data sets for discrete and continuous numerical variables and calculate the range, median, mean and mode; make and justify decisions about which measures of central tendency provide useful insights into the nature of the distribution of data</t>
        </is>
      </c>
      <c r="E96" s="24" t="n">
        <v>2</v>
      </c>
      <c r="F96" s="24" t="inlineStr">
        <is>
          <t>comparing the mean, median, mode and range of displays of data from a given context, and explaining how outliers may affect summary statistics</t>
        </is>
      </c>
    </row>
    <row r="97" ht="34.5" customHeight="1" s="16">
      <c r="A97" s="24" t="inlineStr">
        <is>
          <t>AC9M7ST01</t>
        </is>
      </c>
      <c r="B97" s="24" t="n">
        <v>7</v>
      </c>
      <c r="C97" s="24" t="inlineStr">
        <is>
          <t>Statistics</t>
        </is>
      </c>
      <c r="D97" s="24" t="inlineStr">
        <is>
          <t>acquire data sets for discrete and continuous numerical variables and calculate the range, median, mean and mode; make and justify decisions about which measures of central tendency provide useful insights into the nature of the distribution of data</t>
        </is>
      </c>
      <c r="E97" s="24" t="n">
        <v>3</v>
      </c>
      <c r="F97" s="24" t="inlineStr">
        <is>
          <t>recognising how different data sets can have the same measures of central tendency and experimenting with how varying data affects these measures</t>
        </is>
      </c>
    </row>
    <row r="98" ht="34.5" customHeight="1" s="16">
      <c r="A98" s="24" t="inlineStr">
        <is>
          <t>AC9M7ST01</t>
        </is>
      </c>
      <c r="B98" s="24" t="n">
        <v>7</v>
      </c>
      <c r="C98" s="24" t="inlineStr">
        <is>
          <t>Statistics</t>
        </is>
      </c>
      <c r="D98" s="24" t="inlineStr">
        <is>
          <t>acquire data sets for discrete and continuous numerical variables and calculate the range, median, mean and mode; make and justify decisions about which measures of central tendency provide useful insights into the nature of the distribution of data</t>
        </is>
      </c>
      <c r="E98" s="24" t="n">
        <v>4</v>
      </c>
      <c r="F98" s="24" t="inlineStr">
        <is>
          <t>acquire continuous numerical data by taking measurement samples during a science experiment, observation or field study, comparing measures of central tendency and identifying any anomalies in the distribution of data</t>
        </is>
      </c>
    </row>
    <row r="99" ht="34.5" customHeight="1" s="16">
      <c r="A99" s="24" t="inlineStr">
        <is>
          <t>AC9M7ST02</t>
        </is>
      </c>
      <c r="B99" s="24" t="n">
        <v>7</v>
      </c>
      <c r="C99" s="24" t="inlineStr">
        <is>
          <t>Statistics</t>
        </is>
      </c>
      <c r="D99"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24" t="n">
        <v>1</v>
      </c>
      <c r="F99" s="24"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6">
      <c r="A100" s="24" t="inlineStr">
        <is>
          <t>AC9M7ST02</t>
        </is>
      </c>
      <c r="B100" s="24" t="n">
        <v>7</v>
      </c>
      <c r="C100" s="24" t="inlineStr">
        <is>
          <t>Statistics</t>
        </is>
      </c>
      <c r="D100"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24" t="n">
        <v>2</v>
      </c>
      <c r="F100" s="24"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6">
      <c r="A101" s="24" t="inlineStr">
        <is>
          <t>AC9M7ST02</t>
        </is>
      </c>
      <c r="B101" s="24" t="n">
        <v>7</v>
      </c>
      <c r="C101" s="24" t="inlineStr">
        <is>
          <t>Statistics</t>
        </is>
      </c>
      <c r="D101"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24" t="n">
        <v>3</v>
      </c>
      <c r="F101" s="24"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6">
      <c r="A102" s="24" t="inlineStr">
        <is>
          <t>AC9M7ST02</t>
        </is>
      </c>
      <c r="B102" s="24" t="n">
        <v>7</v>
      </c>
      <c r="C102" s="24" t="inlineStr">
        <is>
          <t>Statistics</t>
        </is>
      </c>
      <c r="D102"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24" t="n">
        <v>4</v>
      </c>
      <c r="F102" s="24"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6">
      <c r="A103" s="24" t="inlineStr">
        <is>
          <t>AC9M7ST02</t>
        </is>
      </c>
      <c r="B103" s="24" t="n">
        <v>7</v>
      </c>
      <c r="C103" s="24" t="inlineStr">
        <is>
          <t>Statistics</t>
        </is>
      </c>
      <c r="D103"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24" t="n">
        <v>5</v>
      </c>
      <c r="F103" s="24"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6">
      <c r="A104" s="24" t="inlineStr">
        <is>
          <t>AC9M7ST03</t>
        </is>
      </c>
      <c r="B104" s="24" t="n">
        <v>7</v>
      </c>
      <c r="C104" s="24" t="inlineStr">
        <is>
          <t>Statistics</t>
        </is>
      </c>
      <c r="D104" s="24" t="inlineStr">
        <is>
          <t>plan and conduct statistical investigations involving data for discrete and continuous numerical variables; analyse and interpret distributions of data and report findings in terms of shape and summary statistics</t>
        </is>
      </c>
      <c r="E104" s="24" t="n">
        <v>1</v>
      </c>
      <c r="F104" s="24" t="inlineStr">
        <is>
          <t>conducting an investigation to draw conclusions about whether teenagers have faster reaction times than adults</t>
        </is>
      </c>
    </row>
    <row r="105" ht="23.25" customHeight="1" s="16">
      <c r="A105" s="24" t="inlineStr">
        <is>
          <t>AC9M7ST03</t>
        </is>
      </c>
      <c r="B105" s="24" t="n">
        <v>7</v>
      </c>
      <c r="C105" s="24" t="inlineStr">
        <is>
          <t>Statistics</t>
        </is>
      </c>
      <c r="D105" s="24" t="inlineStr">
        <is>
          <t>plan and conduct statistical investigations involving data for discrete and continuous numerical variables; analyse and interpret distributions of data and report findings in terms of shape and summary statistics</t>
        </is>
      </c>
      <c r="E105" s="24" t="n">
        <v>2</v>
      </c>
      <c r="F105" s="24" t="inlineStr">
        <is>
          <t>conducting an investigation to support claims that a modification of a Science, Technology, Engineering and Mathematics (STEM) related design has improved performance</t>
        </is>
      </c>
    </row>
    <row r="106" ht="23.25" customHeight="1" s="16">
      <c r="A106" s="24" t="inlineStr">
        <is>
          <t>AC9M7ST03</t>
        </is>
      </c>
      <c r="B106" s="24" t="n">
        <v>7</v>
      </c>
      <c r="C106" s="24" t="inlineStr">
        <is>
          <t>Statistics</t>
        </is>
      </c>
      <c r="D106" s="24" t="inlineStr">
        <is>
          <t>plan and conduct statistical investigations involving data for discrete and continuous numerical variables; analyse and interpret distributions of data and report findings in terms of shape and summary statistics</t>
        </is>
      </c>
      <c r="E106" s="24" t="n">
        <v>3</v>
      </c>
      <c r="F106" s="24" t="inlineStr">
        <is>
          <t>using secondary data from the Reconciliation Barometer to conduct and report on statistical investigations relating to First Nations Australians</t>
        </is>
      </c>
    </row>
    <row r="107" ht="23.25" customHeight="1" s="16">
      <c r="A107" s="24" t="inlineStr">
        <is>
          <t>AC9M7P01</t>
        </is>
      </c>
      <c r="B107" s="24" t="n">
        <v>7</v>
      </c>
      <c r="C107" s="24" t="inlineStr">
        <is>
          <t>Probability</t>
        </is>
      </c>
      <c r="D107" s="24" t="inlineStr">
        <is>
          <t>identify the sample space for single-stage events; assign probabilities to the outcomes of these events and predict relative frequencies for related events</t>
        </is>
      </c>
      <c r="E107" s="24" t="n">
        <v>1</v>
      </c>
      <c r="F107" s="24" t="inlineStr">
        <is>
          <t>discussing the meaning of probability terminology; for example, “probability”, “sample space”, “favourable outcome”, “trial”, “experiment” and “event”</t>
        </is>
      </c>
    </row>
    <row r="108" ht="23.25" customHeight="1" s="16">
      <c r="A108" s="24" t="inlineStr">
        <is>
          <t>AC9M7P01</t>
        </is>
      </c>
      <c r="B108" s="24" t="n">
        <v>7</v>
      </c>
      <c r="C108" s="24" t="inlineStr">
        <is>
          <t>Probability</t>
        </is>
      </c>
      <c r="D108" s="24" t="inlineStr">
        <is>
          <t>identify the sample space for single-stage events; assign probabilities to the outcomes of these events and predict relative frequencies for related events</t>
        </is>
      </c>
      <c r="E108" s="24" t="n">
        <v>2</v>
      </c>
      <c r="F108" s="24" t="inlineStr">
        <is>
          <t>listing sample spaces for games involving throwing a coin or a die, spinners, or lucky dip</t>
        </is>
      </c>
    </row>
    <row r="109" ht="23.25" customHeight="1" s="16">
      <c r="A109" s="24" t="inlineStr">
        <is>
          <t>AC9M7P01</t>
        </is>
      </c>
      <c r="B109" s="24" t="n">
        <v>7</v>
      </c>
      <c r="C109" s="24" t="inlineStr">
        <is>
          <t>Probability</t>
        </is>
      </c>
      <c r="D109" s="24" t="inlineStr">
        <is>
          <t>identify the sample space for single-stage events; assign probabilities to the outcomes of these events and predict relative frequencies for related events</t>
        </is>
      </c>
      <c r="E109" s="24" t="n">
        <v>3</v>
      </c>
      <c r="F109" s="24" t="inlineStr">
        <is>
          <t>assigning the probability for throwing a 6 on a dice and using this to predict the number of times a 6 will occur when a dice is thrown multiple times</t>
        </is>
      </c>
    </row>
    <row r="110" ht="23.25" customHeight="1" s="16">
      <c r="A110" s="24" t="inlineStr">
        <is>
          <t>AC9M7P02</t>
        </is>
      </c>
      <c r="B110" s="24" t="n">
        <v>7</v>
      </c>
      <c r="C110" s="24" t="inlineStr">
        <is>
          <t>Probability</t>
        </is>
      </c>
      <c r="D110" s="24" t="inlineStr">
        <is>
          <t>conduct repeated chance experiments and run simulations with a large number of trials using digital tools; compare predictions about outcomes with observed results, explaining the differences</t>
        </is>
      </c>
      <c r="E110" s="24" t="n">
        <v>1</v>
      </c>
      <c r="F110" s="24" t="inlineStr">
        <is>
          <t>developing an understanding of the law of large numbers through using experiments and simulations to conduct large numbers of trials for seemingly random events and discussing findings</t>
        </is>
      </c>
    </row>
    <row r="111" ht="23.25" customHeight="1" s="16">
      <c r="A111" s="24" t="inlineStr">
        <is>
          <t>AC9M7P02</t>
        </is>
      </c>
      <c r="B111" s="24" t="n">
        <v>7</v>
      </c>
      <c r="C111" s="24" t="inlineStr">
        <is>
          <t>Probability</t>
        </is>
      </c>
      <c r="D111" s="24" t="inlineStr">
        <is>
          <t>conduct repeated chance experiments and run simulations with a large number of trials using digital tools; compare predictions about outcomes with observed results, explaining the differences</t>
        </is>
      </c>
      <c r="E111" s="24" t="n">
        <v>2</v>
      </c>
      <c r="F111" s="24" t="inlineStr">
        <is>
          <t>conducting simulations using online simulation tools and comparing the combined results of a large number of trials to predicted results</t>
        </is>
      </c>
    </row>
    <row r="112" ht="34.5" customHeight="1" s="16">
      <c r="A112" s="24" t="inlineStr">
        <is>
          <t>AC9M7P02</t>
        </is>
      </c>
      <c r="B112" s="24" t="n">
        <v>7</v>
      </c>
      <c r="C112" s="24" t="inlineStr">
        <is>
          <t>Probability</t>
        </is>
      </c>
      <c r="D112" s="24" t="inlineStr">
        <is>
          <t>conduct repeated chance experiments and run simulations with a large number of trials using digital tools; compare predictions about outcomes with observed results, explaining the differences</t>
        </is>
      </c>
      <c r="E112" s="24" t="n">
        <v>3</v>
      </c>
      <c r="F112" s="24"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6">
      <c r="A113" s="24" t="inlineStr">
        <is>
          <t>AC9M8N01</t>
        </is>
      </c>
      <c r="B113" s="24" t="n">
        <v>8</v>
      </c>
      <c r="C113" s="24" t="inlineStr">
        <is>
          <t>Number</t>
        </is>
      </c>
      <c r="D113" s="24" t="inlineStr">
        <is>
          <t>recognise irrational numbers in applied contexts, including square roots and π</t>
        </is>
      </c>
      <c r="E113" s="24" t="n">
        <v>1</v>
      </c>
      <c r="F113" s="24" t="inlineStr">
        <is>
          <t>recognising that the real number system includes irrational numbers which can be approximately located on the real number line; for example, the value of π lies somewhere between 3.141 and 3.142 that is, 3.141 &lt; π &lt; 3.142</t>
        </is>
      </c>
    </row>
    <row r="114" ht="45.75" customHeight="1" s="16">
      <c r="A114" s="24" t="inlineStr">
        <is>
          <t>AC9M8N01</t>
        </is>
      </c>
      <c r="B114" s="24" t="n">
        <v>8</v>
      </c>
      <c r="C114" s="24" t="inlineStr">
        <is>
          <t>Number</t>
        </is>
      </c>
      <c r="D114" s="24" t="inlineStr">
        <is>
          <t>recognise irrational numbers in applied contexts, including square roots and π</t>
        </is>
      </c>
      <c r="E114" s="24" t="n">
        <v>2</v>
      </c>
      <c r="F114" s="24"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6">
      <c r="A115" s="24" t="inlineStr">
        <is>
          <t>AC9M8N01</t>
        </is>
      </c>
      <c r="B115" s="24" t="n">
        <v>8</v>
      </c>
      <c r="C115" s="24" t="inlineStr">
        <is>
          <t>Number</t>
        </is>
      </c>
      <c r="D115" s="24" t="inlineStr">
        <is>
          <t>recognise irrational numbers in applied contexts, including square roots and π</t>
        </is>
      </c>
      <c r="E115" s="24" t="n">
        <v>3</v>
      </c>
      <c r="F115" s="24" t="inlineStr">
        <is>
          <t>investigating the golden ratio in art and design, and historical approximations to π in different societies</t>
        </is>
      </c>
    </row>
    <row r="116" ht="23.25" customHeight="1" s="16">
      <c r="A116" s="24" t="inlineStr">
        <is>
          <t>AC9M8N01</t>
        </is>
      </c>
      <c r="B116" s="24" t="n">
        <v>8</v>
      </c>
      <c r="C116" s="24" t="inlineStr">
        <is>
          <t>Number</t>
        </is>
      </c>
      <c r="D116" s="24" t="inlineStr">
        <is>
          <t>recognise irrational numbers in applied contexts, including square roots and π</t>
        </is>
      </c>
      <c r="E116" s="24" t="n">
        <v>4</v>
      </c>
      <c r="F116" s="24" t="inlineStr">
        <is>
          <t>connecting the ratio between the circumference and diameter of any circle to the irrational value of π using circular objects and string or dynamic drawing software</t>
        </is>
      </c>
    </row>
    <row r="117" ht="34.5" customHeight="1" s="16">
      <c r="A117" s="24" t="inlineStr">
        <is>
          <t>AC9M8N02</t>
        </is>
      </c>
      <c r="B117" s="24" t="n">
        <v>8</v>
      </c>
      <c r="C117" s="24" t="inlineStr">
        <is>
          <t>Number</t>
        </is>
      </c>
      <c r="D117" s="24" t="inlineStr">
        <is>
          <t>establish and apply the exponent laws with positive integer exponents and the zero-exponent, using exponent notation with numbers</t>
        </is>
      </c>
      <c r="E117" s="24" t="n">
        <v>1</v>
      </c>
      <c r="F117" s="24"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6">
      <c r="A118" s="24" t="inlineStr">
        <is>
          <t>AC9M8N02</t>
        </is>
      </c>
      <c r="B118" s="24" t="n">
        <v>8</v>
      </c>
      <c r="C118" s="24" t="inlineStr">
        <is>
          <t>Number</t>
        </is>
      </c>
      <c r="D118" s="24" t="inlineStr">
        <is>
          <t>establish and apply the exponent laws with positive integer exponents and the zero-exponent, using exponent notation with numbers</t>
        </is>
      </c>
      <c r="E118" s="24" t="n">
        <v>2</v>
      </c>
      <c r="F118" s="24"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6">
      <c r="A119" s="24" t="inlineStr">
        <is>
          <t>AC9M8N02</t>
        </is>
      </c>
      <c r="B119" s="24" t="n">
        <v>8</v>
      </c>
      <c r="C119" s="24" t="inlineStr">
        <is>
          <t>Number</t>
        </is>
      </c>
      <c r="D119" s="24" t="inlineStr">
        <is>
          <t>establish and apply the exponent laws with positive integer exponents and the zero-exponent, using exponent notation with numbers</t>
        </is>
      </c>
      <c r="E119" s="24" t="n">
        <v>3</v>
      </c>
      <c r="F119" s="24" t="inlineStr">
        <is>
          <t>using digital tools to systematically explore the application of the exponent laws; observing that the bases need to be the same</t>
        </is>
      </c>
    </row>
    <row r="120" ht="23.25" customHeight="1" s="16">
      <c r="A120" s="24" t="inlineStr">
        <is>
          <t>AC9M8N02</t>
        </is>
      </c>
      <c r="B120" s="24" t="n">
        <v>8</v>
      </c>
      <c r="C120" s="24" t="inlineStr">
        <is>
          <t>Number</t>
        </is>
      </c>
      <c r="D120" s="24" t="inlineStr">
        <is>
          <t>establish and apply the exponent laws with positive integer exponents and the zero-exponent, using exponent notation with numbers</t>
        </is>
      </c>
      <c r="E120" s="24" t="n">
        <v>4</v>
      </c>
      <c r="F120" s="24" t="inlineStr">
        <is>
          <t>using examples such as 3⁴/3⁴=1, and 3⁴⁻⁴=3⁰ to illustrate the necessity that for any non-zero natural number n, n⁰=1</t>
        </is>
      </c>
    </row>
    <row r="121" ht="23.25" customHeight="1" s="16">
      <c r="A121" s="24" t="inlineStr">
        <is>
          <t>AC9M8N03</t>
        </is>
      </c>
      <c r="B121" s="24" t="n">
        <v>8</v>
      </c>
      <c r="C121" s="24" t="inlineStr">
        <is>
          <t>Number</t>
        </is>
      </c>
      <c r="D121" s="24" t="inlineStr">
        <is>
          <t>recognise terminating and recurring decimals, using digital tools as appropriate</t>
        </is>
      </c>
      <c r="E121" s="24" t="n">
        <v>1</v>
      </c>
      <c r="F121" s="24" t="inlineStr">
        <is>
          <t>identifying when a fraction has a terminating decimal expansion from the prime factorisation of its denominator; for example, 7/24=0.2916 does not have a terminating decimal expansion, while 7/25=0.28 does</t>
        </is>
      </c>
    </row>
    <row r="122" ht="23.25" customHeight="1" s="16">
      <c r="A122" s="24" t="inlineStr">
        <is>
          <t>AC9M8N03</t>
        </is>
      </c>
      <c r="B122" s="24" t="n">
        <v>8</v>
      </c>
      <c r="C122" s="24" t="inlineStr">
        <is>
          <t>Number</t>
        </is>
      </c>
      <c r="D122" s="24" t="inlineStr">
        <is>
          <t>recognise terminating and recurring decimals, using digital tools as appropriate</t>
        </is>
      </c>
      <c r="E122" s="24" t="n">
        <v>2</v>
      </c>
      <c r="F122" s="24" t="inlineStr">
        <is>
          <t>identifying terminating, recurring and non-terminating decimals and choosing their appropriate representations such as 1/3 is represented as 0.3</t>
        </is>
      </c>
    </row>
    <row r="123" ht="23.25" customHeight="1" s="16">
      <c r="A123" s="24" t="inlineStr">
        <is>
          <t>AC9M8N04</t>
        </is>
      </c>
      <c r="B123" s="24" t="n">
        <v>8</v>
      </c>
      <c r="C123" s="24" t="inlineStr">
        <is>
          <t>Number</t>
        </is>
      </c>
      <c r="D123" s="24" t="inlineStr">
        <is>
          <t>use the 4 operations with integers and with rational numbers, choosing and using efficient strategies and digital tools where appropriate</t>
        </is>
      </c>
      <c r="E123" s="24" t="n">
        <v>1</v>
      </c>
      <c r="F123" s="24" t="inlineStr">
        <is>
          <t>using patterns to assist in establishing the rules for the multiplication and division of integers</t>
        </is>
      </c>
    </row>
    <row r="124" ht="23.25" customHeight="1" s="16">
      <c r="A124" s="24" t="inlineStr">
        <is>
          <t>AC9M8N04</t>
        </is>
      </c>
      <c r="B124" s="24" t="n">
        <v>8</v>
      </c>
      <c r="C124" s="24" t="inlineStr">
        <is>
          <t>Number</t>
        </is>
      </c>
      <c r="D124" s="24" t="inlineStr">
        <is>
          <t>use the 4 operations with integers and with rational numbers, choosing and using efficient strategies and digital tools where appropriate</t>
        </is>
      </c>
      <c r="E124" s="24" t="n">
        <v>2</v>
      </c>
      <c r="F124" s="24"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6">
      <c r="A125" s="24" t="inlineStr">
        <is>
          <t>AC9M8N04</t>
        </is>
      </c>
      <c r="B125" s="24" t="n">
        <v>8</v>
      </c>
      <c r="C125" s="24" t="inlineStr">
        <is>
          <t>Number</t>
        </is>
      </c>
      <c r="D125" s="24" t="inlineStr">
        <is>
          <t>use the 4 operations with integers and with rational numbers, choosing and using efficient strategies and digital tools where appropriate</t>
        </is>
      </c>
      <c r="E125" s="24" t="n">
        <v>3</v>
      </c>
      <c r="F125" s="24" t="inlineStr">
        <is>
          <t>recognising the effect of sign in the multiplication of integers; for example, (-1)⁴=1 and (-1)⁵=-1</t>
        </is>
      </c>
    </row>
    <row r="126" ht="45.75" customHeight="1" s="16">
      <c r="A126" s="24" t="inlineStr">
        <is>
          <t>AC9M8N05</t>
        </is>
      </c>
      <c r="B126" s="24" t="n">
        <v>8</v>
      </c>
      <c r="C126" s="24" t="inlineStr">
        <is>
          <t>Number</t>
        </is>
      </c>
      <c r="D126"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24" t="n">
        <v>1</v>
      </c>
      <c r="F126" s="24"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6">
      <c r="A127" s="24" t="inlineStr">
        <is>
          <t>AC9M8N05</t>
        </is>
      </c>
      <c r="B127" s="24" t="n">
        <v>8</v>
      </c>
      <c r="C127" s="24" t="inlineStr">
        <is>
          <t>Number</t>
        </is>
      </c>
      <c r="D127"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24" t="n">
        <v>2</v>
      </c>
      <c r="F127" s="24" t="inlineStr">
        <is>
          <t>modelling situations that involve percentage increases or decreases and explaining why it is an increase or decrease, such as mark-ups, discounts, Goods and Services Tax, changes in populations or recycling rates</t>
        </is>
      </c>
    </row>
    <row r="128" ht="45.75" customHeight="1" s="16">
      <c r="A128" s="24" t="inlineStr">
        <is>
          <t>AC9M8N05</t>
        </is>
      </c>
      <c r="B128" s="24" t="n">
        <v>8</v>
      </c>
      <c r="C128" s="24" t="inlineStr">
        <is>
          <t>Number</t>
        </is>
      </c>
      <c r="D128"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24" t="n">
        <v>3</v>
      </c>
      <c r="F128" s="24" t="inlineStr">
        <is>
          <t>modelling situations involving personal income tax, interpreting tax tables to determine income tax at various levels of income, including overall percentage of income allocated to tax</t>
        </is>
      </c>
    </row>
    <row r="129" ht="45.75" customHeight="1" s="16">
      <c r="A129" s="24" t="inlineStr">
        <is>
          <t>AC9M8N05</t>
        </is>
      </c>
      <c r="B129" s="24" t="n">
        <v>8</v>
      </c>
      <c r="C129" s="24" t="inlineStr">
        <is>
          <t>Number</t>
        </is>
      </c>
      <c r="D129"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24" t="n">
        <v>4</v>
      </c>
      <c r="F129" s="24" t="inlineStr">
        <is>
          <t>modelling situations involving percentage increase or decrease such as market trends, effects on population, or effects on the environment over extended time periods</t>
        </is>
      </c>
    </row>
    <row r="130" ht="34.5" customHeight="1" s="16">
      <c r="A130" s="24" t="inlineStr">
        <is>
          <t>AC9M8A01</t>
        </is>
      </c>
      <c r="B130" s="24" t="n">
        <v>8</v>
      </c>
      <c r="C130" s="24" t="inlineStr">
        <is>
          <t>Algebra</t>
        </is>
      </c>
      <c r="D130" s="24" t="inlineStr">
        <is>
          <t>create, expand, factorise, rearrange and simplify linear expressions, applying the associative, commutative, identity, distributive and inverse properties</t>
        </is>
      </c>
      <c r="E130" s="24" t="n">
        <v>1</v>
      </c>
      <c r="F130" s="24"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6">
      <c r="A131" s="24" t="inlineStr">
        <is>
          <t>AC9M8A01</t>
        </is>
      </c>
      <c r="B131" s="24" t="n">
        <v>8</v>
      </c>
      <c r="C131" s="24" t="inlineStr">
        <is>
          <t>Algebra</t>
        </is>
      </c>
      <c r="D131" s="24" t="inlineStr">
        <is>
          <t>create, expand, factorise, rearrange and simplify linear expressions, applying the associative, commutative, identity, distributive and inverse properties</t>
        </is>
      </c>
      <c r="E131" s="24" t="n">
        <v>2</v>
      </c>
      <c r="F131" s="24" t="inlineStr">
        <is>
          <t>demonstrating the relationship between factorising and expanding linear expressions using manipulatives, such as algebra tiles or area models, and describing with mathematical language</t>
        </is>
      </c>
    </row>
    <row r="132" ht="23.25" customHeight="1" s="16">
      <c r="A132" s="24" t="inlineStr">
        <is>
          <t>AC9M8A01</t>
        </is>
      </c>
      <c r="B132" s="24" t="n">
        <v>8</v>
      </c>
      <c r="C132" s="24" t="inlineStr">
        <is>
          <t>Algebra</t>
        </is>
      </c>
      <c r="D132" s="24" t="inlineStr">
        <is>
          <t>create, expand, factorise, rearrange and simplify linear expressions, applying the associative, commutative, identity, distributive and inverse properties</t>
        </is>
      </c>
      <c r="E132" s="24" t="n">
        <v>3</v>
      </c>
      <c r="F132" s="24" t="inlineStr">
        <is>
          <t>using the distributive, associative, commutative, identity and inverse properties to expand and factorise algebraic expressions using strategies such as the area model</t>
        </is>
      </c>
    </row>
    <row r="133" ht="23.25" customHeight="1" s="16">
      <c r="A133" s="24" t="inlineStr">
        <is>
          <t>AC9M8A02</t>
        </is>
      </c>
      <c r="B133" s="24" t="n">
        <v>8</v>
      </c>
      <c r="C133" s="24" t="inlineStr">
        <is>
          <t>Algebra</t>
        </is>
      </c>
      <c r="D133" s="24" t="inlineStr">
        <is>
          <t>graph linear relations on the Cartesian plane using digital tools where appropriate; solve linear equations and one-variable inequalities using graphical and algebraic techniques; verify solutions by substitution</t>
        </is>
      </c>
      <c r="E133" s="24" t="n">
        <v>1</v>
      </c>
      <c r="F133" s="24" t="inlineStr">
        <is>
          <t>recognising that in a table of values, if the first difference between consecutive values of the dependent variable is constant, then it is a linear relation</t>
        </is>
      </c>
    </row>
    <row r="134" ht="23.25" customHeight="1" s="16">
      <c r="A134" s="24" t="inlineStr">
        <is>
          <t>AC9M8A02</t>
        </is>
      </c>
      <c r="B134" s="24" t="n">
        <v>8</v>
      </c>
      <c r="C134" s="24" t="inlineStr">
        <is>
          <t>Algebra</t>
        </is>
      </c>
      <c r="D134" s="24" t="inlineStr">
        <is>
          <t>graph linear relations on the Cartesian plane using digital tools where appropriate; solve linear equations and one-variable inequalities using graphical and algebraic techniques; verify solutions by substitution</t>
        </is>
      </c>
      <c r="E134" s="24" t="n">
        <v>2</v>
      </c>
      <c r="F134" s="24" t="inlineStr">
        <is>
          <t>graphing linear functions and relations of the form x=a , y=a , x ≤a , x&gt;a , y ≤a , y&gt;a on the Cartesian plane for known values of a</t>
        </is>
      </c>
    </row>
    <row r="135" ht="23.25" customHeight="1" s="16">
      <c r="A135" s="24" t="inlineStr">
        <is>
          <t>AC9M8A02</t>
        </is>
      </c>
      <c r="B135" s="24" t="n">
        <v>8</v>
      </c>
      <c r="C135" s="24" t="inlineStr">
        <is>
          <t>Algebra</t>
        </is>
      </c>
      <c r="D135" s="24" t="inlineStr">
        <is>
          <t>graph linear relations on the Cartesian plane using digital tools where appropriate; solve linear equations and one-variable inequalities using graphical and algebraic techniques; verify solutions by substitution</t>
        </is>
      </c>
      <c r="E135" s="24" t="n">
        <v>3</v>
      </c>
      <c r="F135" s="24" t="inlineStr">
        <is>
          <t>completing a table of values, plotting the resulting points on the Cartesian plane and determining whether the relationship is linear</t>
        </is>
      </c>
    </row>
    <row r="136" ht="23.25" customHeight="1" s="16">
      <c r="A136" s="24" t="inlineStr">
        <is>
          <t>AC9M8A02</t>
        </is>
      </c>
      <c r="B136" s="24" t="n">
        <v>8</v>
      </c>
      <c r="C136" s="24" t="inlineStr">
        <is>
          <t>Algebra</t>
        </is>
      </c>
      <c r="D136" s="24" t="inlineStr">
        <is>
          <t>graph linear relations on the Cartesian plane using digital tools where appropriate; solve linear equations and one-variable inequalities using graphical and algebraic techniques; verify solutions by substitution</t>
        </is>
      </c>
      <c r="E136" s="24" t="n">
        <v>4</v>
      </c>
      <c r="F136" s="24" t="inlineStr">
        <is>
          <t>graphing the linear relationship ax+b=c for given values of a, b and c and identifying from the graph where ax+b &lt;c or where ax+b &gt;c</t>
        </is>
      </c>
    </row>
    <row r="137" ht="23.25" customHeight="1" s="16">
      <c r="A137" s="24" t="inlineStr">
        <is>
          <t>AC9M8A02</t>
        </is>
      </c>
      <c r="B137" s="24" t="n">
        <v>8</v>
      </c>
      <c r="C137" s="24" t="inlineStr">
        <is>
          <t>Algebra</t>
        </is>
      </c>
      <c r="D137" s="24" t="inlineStr">
        <is>
          <t>graph linear relations on the Cartesian plane using digital tools where appropriate; solve linear equations and one-variable inequalities using graphical and algebraic techniques; verify solutions by substitution</t>
        </is>
      </c>
      <c r="E137" s="24" t="n">
        <v>5</v>
      </c>
      <c r="F137" s="24" t="inlineStr">
        <is>
          <t>solving linear equations of the form ax+b=c and one-variable inequalities of the form ax+b &lt;c or ax+b &gt;c where a &gt; 0 using inverse operations and digital tools, and checking solutions by substitution</t>
        </is>
      </c>
    </row>
    <row r="138" ht="23.25" customHeight="1" s="16">
      <c r="A138" s="24" t="inlineStr">
        <is>
          <t>AC9M8A02</t>
        </is>
      </c>
      <c r="B138" s="24" t="n">
        <v>8</v>
      </c>
      <c r="C138" s="24" t="inlineStr">
        <is>
          <t>Algebra</t>
        </is>
      </c>
      <c r="D138" s="24" t="inlineStr">
        <is>
          <t>graph linear relations on the Cartesian plane using digital tools where appropriate; solve linear equations and one-variable inequalities using graphical and algebraic techniques; verify solutions by substitution</t>
        </is>
      </c>
      <c r="E138" s="24" t="n">
        <v>6</v>
      </c>
      <c r="F138" s="24" t="inlineStr">
        <is>
          <t>solving linear equations such as 3x+7=6x-9 , representing these graphically, and verifying solutions by substitution</t>
        </is>
      </c>
    </row>
    <row r="139" ht="45.75" customHeight="1" s="16">
      <c r="A139" s="24" t="inlineStr">
        <is>
          <t>AC9M8A03</t>
        </is>
      </c>
      <c r="B139" s="24" t="n">
        <v>8</v>
      </c>
      <c r="C139" s="24" t="inlineStr">
        <is>
          <t>Algebra</t>
        </is>
      </c>
      <c r="D139"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24" t="n">
        <v>1</v>
      </c>
      <c r="F139" s="24"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6">
      <c r="A140" s="24" t="inlineStr">
        <is>
          <t>AC9M8A03</t>
        </is>
      </c>
      <c r="B140" s="24" t="n">
        <v>8</v>
      </c>
      <c r="C140" s="24" t="inlineStr">
        <is>
          <t>Algebra</t>
        </is>
      </c>
      <c r="D140"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24" t="n">
        <v>2</v>
      </c>
      <c r="F140" s="24"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6">
      <c r="A141" s="24" t="inlineStr">
        <is>
          <t>AC9M8A03</t>
        </is>
      </c>
      <c r="B141" s="24" t="n">
        <v>8</v>
      </c>
      <c r="C141" s="24" t="inlineStr">
        <is>
          <t>Algebra</t>
        </is>
      </c>
      <c r="D141"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24" t="n">
        <v>3</v>
      </c>
      <c r="F141" s="24" t="inlineStr">
        <is>
          <t>modelling financial problems involving pay rates, using a table of values to represent the pay amounts and hours worked using an hourly rate of pay, and graphing the relationship to make inferences</t>
        </is>
      </c>
    </row>
    <row r="142" ht="34.5" customHeight="1" s="16">
      <c r="A142" s="24" t="inlineStr">
        <is>
          <t>AC9M8A03</t>
        </is>
      </c>
      <c r="B142" s="24" t="n">
        <v>8</v>
      </c>
      <c r="C142" s="24" t="inlineStr">
        <is>
          <t>Algebra</t>
        </is>
      </c>
      <c r="D142"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24" t="n">
        <v>4</v>
      </c>
      <c r="F142" s="24" t="inlineStr">
        <is>
          <t>modelling patterns on Country/Place and exploring their connections and meaning to linear equations, using the model as a predictive tool and critiquing results by connecting back to Country/Place</t>
        </is>
      </c>
    </row>
    <row r="143" ht="34.5" customHeight="1" s="16">
      <c r="A143" s="24" t="inlineStr">
        <is>
          <t>AC9M8A04</t>
        </is>
      </c>
      <c r="B143" s="24" t="n">
        <v>8</v>
      </c>
      <c r="C143" s="24" t="inlineStr">
        <is>
          <t>Algebra</t>
        </is>
      </c>
      <c r="D143" s="24" t="inlineStr">
        <is>
          <t>experiment with linear functions and relations using digital tools, making and testing conjectures and generalising emerging patterns</t>
        </is>
      </c>
      <c r="E143" s="24" t="n">
        <v>1</v>
      </c>
      <c r="F143" s="24"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6">
      <c r="A144" s="24" t="inlineStr">
        <is>
          <t>AC9M8A04</t>
        </is>
      </c>
      <c r="B144" s="24" t="n">
        <v>8</v>
      </c>
      <c r="C144" s="24" t="inlineStr">
        <is>
          <t>Algebra</t>
        </is>
      </c>
      <c r="D144" s="24" t="inlineStr">
        <is>
          <t>experiment with linear functions and relations using digital tools, making and testing conjectures and generalising emerging patterns</t>
        </is>
      </c>
      <c r="E144" s="24" t="n">
        <v>2</v>
      </c>
      <c r="F144" s="24"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6">
      <c r="A145" s="24" t="inlineStr">
        <is>
          <t>AC9M8A04</t>
        </is>
      </c>
      <c r="B145" s="24" t="n">
        <v>8</v>
      </c>
      <c r="C145" s="24" t="inlineStr">
        <is>
          <t>Algebra</t>
        </is>
      </c>
      <c r="D145" s="24" t="inlineStr">
        <is>
          <t>experiment with linear functions and relations using digital tools, making and testing conjectures and generalising emerging patterns</t>
        </is>
      </c>
      <c r="E145" s="24" t="n">
        <v>3</v>
      </c>
      <c r="F145" s="24" t="inlineStr">
        <is>
          <t>using digital tools to investigate integer solutions to equations such as 2x+3y=48</t>
        </is>
      </c>
    </row>
    <row r="146" ht="15" customHeight="1" s="16">
      <c r="A146" s="24" t="inlineStr">
        <is>
          <t>AC9M8M01</t>
        </is>
      </c>
      <c r="B146" s="24" t="n">
        <v>8</v>
      </c>
      <c r="C146" s="24" t="inlineStr">
        <is>
          <t>Measurement</t>
        </is>
      </c>
      <c r="D146" s="24" t="inlineStr">
        <is>
          <t>solve problems involving the area and perimeter of irregular and composite shapes using appropriate units</t>
        </is>
      </c>
      <c r="E146" s="24" t="n">
        <v>1</v>
      </c>
      <c r="F146" s="24" t="inlineStr">
        <is>
          <t>determining the area of composite shapes by composing or decomposing shapes</t>
        </is>
      </c>
    </row>
    <row r="147" ht="34.5" customHeight="1" s="16">
      <c r="A147" s="24" t="inlineStr">
        <is>
          <t>AC9M8M01</t>
        </is>
      </c>
      <c r="B147" s="24" t="n">
        <v>8</v>
      </c>
      <c r="C147" s="24" t="inlineStr">
        <is>
          <t>Measurement</t>
        </is>
      </c>
      <c r="D147" s="24" t="inlineStr">
        <is>
          <t>solve problems involving the area and perimeter of irregular and composite shapes using appropriate units</t>
        </is>
      </c>
      <c r="E147" s="24" t="n">
        <v>2</v>
      </c>
      <c r="F147" s="24"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6">
      <c r="A148" s="24" t="inlineStr">
        <is>
          <t>AC9M8M01</t>
        </is>
      </c>
      <c r="B148" s="24" t="n">
        <v>8</v>
      </c>
      <c r="C148" s="24" t="inlineStr">
        <is>
          <t>Measurement</t>
        </is>
      </c>
      <c r="D148" s="24" t="inlineStr">
        <is>
          <t>solve problems involving the area and perimeter of irregular and composite shapes using appropriate units</t>
        </is>
      </c>
      <c r="E148" s="24" t="n">
        <v>3</v>
      </c>
      <c r="F148" s="24"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6">
      <c r="A149" s="24" t="inlineStr">
        <is>
          <t>AC9M8M02</t>
        </is>
      </c>
      <c r="B149" s="24" t="n">
        <v>8</v>
      </c>
      <c r="C149" s="24" t="inlineStr">
        <is>
          <t>Measurement</t>
        </is>
      </c>
      <c r="D149" s="24" t="inlineStr">
        <is>
          <t>solve problems involving the volume and capacity of right prisms using appropriate units</t>
        </is>
      </c>
      <c r="E149" s="24" t="n">
        <v>1</v>
      </c>
      <c r="F149" s="24" t="inlineStr">
        <is>
          <t>using models to demonstrate the number of cubic centimetres in a cubic metre and relating this to capacities of millilitres and litres, recognising that one millilitre is equivalent to one cm3</t>
        </is>
      </c>
    </row>
    <row r="150" ht="15" customHeight="1" s="16">
      <c r="A150" s="24" t="inlineStr">
        <is>
          <t>AC9M8M02</t>
        </is>
      </c>
      <c r="B150" s="24" t="n">
        <v>8</v>
      </c>
      <c r="C150" s="24" t="inlineStr">
        <is>
          <t>Measurement</t>
        </is>
      </c>
      <c r="D150" s="24" t="inlineStr">
        <is>
          <t>solve problems involving the volume and capacity of right prisms using appropriate units</t>
        </is>
      </c>
      <c r="E150" s="24" t="n">
        <v>2</v>
      </c>
      <c r="F150" s="24" t="inlineStr">
        <is>
          <t>solving practical problems involving volume and capacity; for example, optimal packaging and production</t>
        </is>
      </c>
    </row>
    <row r="151" ht="34.5" customHeight="1" s="16">
      <c r="A151" s="24" t="inlineStr">
        <is>
          <t>AC9M8M02</t>
        </is>
      </c>
      <c r="B151" s="24" t="n">
        <v>8</v>
      </c>
      <c r="C151" s="24" t="inlineStr">
        <is>
          <t>Measurement</t>
        </is>
      </c>
      <c r="D151" s="24" t="inlineStr">
        <is>
          <t>solve problems involving the volume and capacity of right prisms using appropriate units</t>
        </is>
      </c>
      <c r="E151" s="24" t="n">
        <v>3</v>
      </c>
      <c r="F151" s="24"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6">
      <c r="A152" s="24" t="inlineStr">
        <is>
          <t>AC9M8M02</t>
        </is>
      </c>
      <c r="B152" s="24" t="n">
        <v>8</v>
      </c>
      <c r="C152" s="24" t="inlineStr">
        <is>
          <t>Measurement</t>
        </is>
      </c>
      <c r="D152" s="24" t="inlineStr">
        <is>
          <t>solve problems involving the volume and capacity of right prisms using appropriate units</t>
        </is>
      </c>
      <c r="E152" s="24" t="n">
        <v>4</v>
      </c>
      <c r="F152" s="24"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6">
      <c r="A153" s="24" t="inlineStr">
        <is>
          <t>AC9M8M03</t>
        </is>
      </c>
      <c r="B153" s="24" t="n">
        <v>8</v>
      </c>
      <c r="C153" s="24" t="inlineStr">
        <is>
          <t>Measurement</t>
        </is>
      </c>
      <c r="D153" s="24" t="inlineStr">
        <is>
          <t>solve problems involving the circumference and area of a circle using formulas and appropriate units</t>
        </is>
      </c>
      <c r="E153" s="24" t="n">
        <v>1</v>
      </c>
      <c r="F153" s="24" t="inlineStr">
        <is>
          <t>deducing that the area of a circle is between 2 radius squares and 4 radius squares, and using 3 × radius2 as a rough estimate for the area of a circle</t>
        </is>
      </c>
    </row>
    <row r="154" ht="23.25" customHeight="1" s="16">
      <c r="A154" s="24" t="inlineStr">
        <is>
          <t>AC9M8M03</t>
        </is>
      </c>
      <c r="B154" s="24" t="n">
        <v>8</v>
      </c>
      <c r="C154" s="24" t="inlineStr">
        <is>
          <t>Measurement</t>
        </is>
      </c>
      <c r="D154" s="24" t="inlineStr">
        <is>
          <t>solve problems involving the circumference and area of a circle using formulas and appropriate units</t>
        </is>
      </c>
      <c r="E154" s="24" t="n">
        <v>2</v>
      </c>
      <c r="F154" s="24" t="inlineStr">
        <is>
          <t>investigating the area of circles using a square grid or by rearranging a circle divided into smaller and smaller sectors or slices to resemble a close approximation of a rectangle</t>
        </is>
      </c>
    </row>
    <row r="155" ht="34.5" customHeight="1" s="16">
      <c r="A155" s="24" t="inlineStr">
        <is>
          <t>AC9M8M03</t>
        </is>
      </c>
      <c r="B155" s="24" t="n">
        <v>8</v>
      </c>
      <c r="C155" s="24" t="inlineStr">
        <is>
          <t>Measurement</t>
        </is>
      </c>
      <c r="D155" s="24" t="inlineStr">
        <is>
          <t>solve problems involving the circumference and area of a circle using formulas and appropriate units</t>
        </is>
      </c>
      <c r="E155" s="24" t="n">
        <v>3</v>
      </c>
      <c r="F155" s="24"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6">
      <c r="A156" s="24" t="inlineStr">
        <is>
          <t>AC9M8M03</t>
        </is>
      </c>
      <c r="B156" s="24" t="n">
        <v>8</v>
      </c>
      <c r="C156" s="24" t="inlineStr">
        <is>
          <t>Measurement</t>
        </is>
      </c>
      <c r="D156" s="24" t="inlineStr">
        <is>
          <t>solve problems involving the circumference and area of a circle using formulas and appropriate units</t>
        </is>
      </c>
      <c r="E156" s="24" t="n">
        <v>4</v>
      </c>
      <c r="F156" s="24" t="inlineStr">
        <is>
          <t>exploring traditional weaving designs by First Nations Australians and investigating the significance and use of circles</t>
        </is>
      </c>
    </row>
    <row r="157" ht="23.25" customHeight="1" s="16">
      <c r="A157" s="24" t="inlineStr">
        <is>
          <t>AC9M8M04</t>
        </is>
      </c>
      <c r="B157" s="24" t="n">
        <v>8</v>
      </c>
      <c r="C157" s="24" t="inlineStr">
        <is>
          <t>Measurement</t>
        </is>
      </c>
      <c r="D157" s="24" t="inlineStr">
        <is>
          <t>solve problems involving duration, including using 12- and 24-hour time across multiple time zones</t>
        </is>
      </c>
      <c r="E157" s="24" t="n">
        <v>1</v>
      </c>
      <c r="F157" s="24" t="inlineStr">
        <is>
          <t>using digital tools to investigate time zones around the world and convert from one zone to another, such as time in Perth, Western Australia compared to Suva in Fiji or Toronto in Canada</t>
        </is>
      </c>
    </row>
    <row r="158" ht="34.5" customHeight="1" s="16">
      <c r="A158" s="24" t="inlineStr">
        <is>
          <t>AC9M8M04</t>
        </is>
      </c>
      <c r="B158" s="24" t="n">
        <v>8</v>
      </c>
      <c r="C158" s="24" t="inlineStr">
        <is>
          <t>Measurement</t>
        </is>
      </c>
      <c r="D158" s="24" t="inlineStr">
        <is>
          <t>solve problems involving duration, including using 12- and 24-hour time across multiple time zones</t>
        </is>
      </c>
      <c r="E158" s="24" t="n">
        <v>2</v>
      </c>
      <c r="F158" s="24"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6">
      <c r="A159" s="24" t="inlineStr">
        <is>
          <t>AC9M8M04</t>
        </is>
      </c>
      <c r="B159" s="24" t="n">
        <v>8</v>
      </c>
      <c r="C159" s="24" t="inlineStr">
        <is>
          <t>Measurement</t>
        </is>
      </c>
      <c r="D159" s="24" t="inlineStr">
        <is>
          <t>solve problems involving duration, including using 12- and 24-hour time across multiple time zones</t>
        </is>
      </c>
      <c r="E159" s="24" t="n">
        <v>3</v>
      </c>
      <c r="F159" s="24" t="inlineStr">
        <is>
          <t>planning an international travel itinerary that covers destinations in different time zones across Asia</t>
        </is>
      </c>
    </row>
    <row r="160" ht="23.25" customHeight="1" s="16">
      <c r="A160" s="24" t="inlineStr">
        <is>
          <t>AC9M8M05</t>
        </is>
      </c>
      <c r="B160" s="24" t="n">
        <v>8</v>
      </c>
      <c r="C160" s="24" t="inlineStr">
        <is>
          <t>Measurement</t>
        </is>
      </c>
      <c r="D160" s="24" t="inlineStr">
        <is>
          <t>recognise and use rates to solve problems involving the comparison of 2 related quantities of different units of measure</t>
        </is>
      </c>
      <c r="E160" s="24" t="n">
        <v>1</v>
      </c>
      <c r="F160" s="24" t="inlineStr">
        <is>
          <t>identifying examples of rates in the real world, including constant rates, rate of pay, cost per kilogram, recipes, simple interest and average rates</t>
        </is>
      </c>
    </row>
    <row r="161" ht="23.25" customHeight="1" s="16">
      <c r="A161" s="24" t="inlineStr">
        <is>
          <t>AC9M8M05</t>
        </is>
      </c>
      <c r="B161" s="24" t="n">
        <v>8</v>
      </c>
      <c r="C161" s="24" t="inlineStr">
        <is>
          <t>Measurement</t>
        </is>
      </c>
      <c r="D161" s="24" t="inlineStr">
        <is>
          <t>recognise and use rates to solve problems involving the comparison of 2 related quantities of different units of measure</t>
        </is>
      </c>
      <c r="E161" s="24" t="n">
        <v>2</v>
      </c>
      <c r="F161" s="24"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6">
      <c r="A162" s="24" t="inlineStr">
        <is>
          <t>AC9M8M05</t>
        </is>
      </c>
      <c r="B162" s="24" t="n">
        <v>8</v>
      </c>
      <c r="C162" s="24" t="inlineStr">
        <is>
          <t>Measurement</t>
        </is>
      </c>
      <c r="D162" s="24" t="inlineStr">
        <is>
          <t>recognise and use rates to solve problems involving the comparison of 2 related quantities of different units of measure</t>
        </is>
      </c>
      <c r="E162" s="24" t="n">
        <v>3</v>
      </c>
      <c r="F162" s="24" t="inlineStr">
        <is>
          <t>applying rates to calculate solutions to problems in different contexts; for example, required run rates in cricket, dilution of concentrated chemicals and comparing the petrol consumption rates of different vehicles</t>
        </is>
      </c>
    </row>
    <row r="163" ht="23.25" customHeight="1" s="16">
      <c r="A163" s="24" t="inlineStr">
        <is>
          <t>AC9M8M05</t>
        </is>
      </c>
      <c r="B163" s="24" t="n">
        <v>8</v>
      </c>
      <c r="C163" s="24" t="inlineStr">
        <is>
          <t>Measurement</t>
        </is>
      </c>
      <c r="D163" s="24" t="inlineStr">
        <is>
          <t>recognise and use rates to solve problems involving the comparison of 2 related quantities of different units of measure</t>
        </is>
      </c>
      <c r="E163" s="24" t="n">
        <v>4</v>
      </c>
      <c r="F163" s="24" t="inlineStr">
        <is>
          <t>using taxation tables to calculate an individual's annual income tax</t>
        </is>
      </c>
    </row>
    <row r="164" ht="34.5" customHeight="1" s="16">
      <c r="A164" s="24" t="inlineStr">
        <is>
          <t>AC9M8M05</t>
        </is>
      </c>
      <c r="B164" s="24" t="n">
        <v>8</v>
      </c>
      <c r="C164" s="24" t="inlineStr">
        <is>
          <t>Measurement</t>
        </is>
      </c>
      <c r="D164" s="24" t="inlineStr">
        <is>
          <t>recognise and use rates to solve problems involving the comparison of 2 related quantities of different units of measure</t>
        </is>
      </c>
      <c r="E164" s="24" t="n">
        <v>5</v>
      </c>
      <c r="F164" s="24"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6">
      <c r="A165" s="24" t="inlineStr">
        <is>
          <t>AC9M8M06</t>
        </is>
      </c>
      <c r="B165" s="24" t="n">
        <v>8</v>
      </c>
      <c r="C165" s="24" t="inlineStr">
        <is>
          <t>Measurement</t>
        </is>
      </c>
      <c r="D165" s="24" t="inlineStr">
        <is>
          <t>use Pythagoras’ theorem to solve problems involving the side lengths of right-angled triangles</t>
        </is>
      </c>
      <c r="E165" s="24" t="n">
        <v>1</v>
      </c>
      <c r="F165" s="24" t="inlineStr">
        <is>
          <t>discussing and comparing different applications, demonstrations and proofs of Pythagoras’ theorem, from Egypt and Mesopotamia, Greece, India and China with other historical and contemporary applications and proofs</t>
        </is>
      </c>
    </row>
    <row r="166" ht="23.25" customHeight="1" s="16">
      <c r="A166" s="24" t="inlineStr">
        <is>
          <t>AC9M8M06</t>
        </is>
      </c>
      <c r="B166" s="24" t="n">
        <v>8</v>
      </c>
      <c r="C166" s="24" t="inlineStr">
        <is>
          <t>Measurement</t>
        </is>
      </c>
      <c r="D166" s="24" t="inlineStr">
        <is>
          <t>use Pythagoras’ theorem to solve problems involving the side lengths of right-angled triangles</t>
        </is>
      </c>
      <c r="E166" s="24" t="n">
        <v>2</v>
      </c>
      <c r="F166" s="24" t="inlineStr">
        <is>
          <t>using Pythagoras’ theorem to determine unknown lengths of sides in right-angled triangles and finding lengths of sides of right-angled triangles in practical applications</t>
        </is>
      </c>
    </row>
    <row r="167" ht="15" customHeight="1" s="16">
      <c r="A167" s="24" t="inlineStr">
        <is>
          <t>AC9M8M06</t>
        </is>
      </c>
      <c r="B167" s="24" t="n">
        <v>8</v>
      </c>
      <c r="C167" s="24" t="inlineStr">
        <is>
          <t>Measurement</t>
        </is>
      </c>
      <c r="D167" s="24" t="inlineStr">
        <is>
          <t>use Pythagoras’ theorem to solve problems involving the side lengths of right-angled triangles</t>
        </is>
      </c>
      <c r="E167" s="24" t="n">
        <v>3</v>
      </c>
      <c r="F167" s="24" t="inlineStr">
        <is>
          <t>recognising the relationship between the squares of lengths of sides for different types of triangles: right-angled, acute or obtuse</t>
        </is>
      </c>
    </row>
    <row r="168" ht="15" customHeight="1" s="16">
      <c r="A168" s="24" t="inlineStr">
        <is>
          <t>AC9M8M06</t>
        </is>
      </c>
      <c r="B168" s="24" t="n">
        <v>8</v>
      </c>
      <c r="C168" s="24" t="inlineStr">
        <is>
          <t>Measurement</t>
        </is>
      </c>
      <c r="D168" s="24" t="inlineStr">
        <is>
          <t>use Pythagoras’ theorem to solve problems involving the side lengths of right-angled triangles</t>
        </is>
      </c>
      <c r="E168" s="24" t="n">
        <v>4</v>
      </c>
      <c r="F168" s="24" t="inlineStr">
        <is>
          <t>identifying Pythagorean triples, such as (3,4,5), (5,12,13), (7, 24, 25) and (8,15, 17)</t>
        </is>
      </c>
    </row>
    <row r="169" ht="34.5" customHeight="1" s="16">
      <c r="A169" s="24" t="inlineStr">
        <is>
          <t>AC9M8M07</t>
        </is>
      </c>
      <c r="B169" s="24" t="n">
        <v>8</v>
      </c>
      <c r="C169" s="24" t="inlineStr">
        <is>
          <t>Measurement</t>
        </is>
      </c>
      <c r="D169" s="24" t="inlineStr">
        <is>
          <t>use mathematical modelling to solve practical problems involving ratios and rates, including financial contexts; formulate problems; interpret and communicate solutions in terms of the situation, reviewing the appropriateness of the model</t>
        </is>
      </c>
      <c r="E169" s="24" t="n">
        <v>1</v>
      </c>
      <c r="F169" s="24" t="inlineStr">
        <is>
          <t>modelling and solving problems related to situations such as scales on maps and plans, the mixing of chemicals or ingredients, or calculating magnification factors applying relevant ratios and proportions</t>
        </is>
      </c>
    </row>
    <row r="170" ht="34.5" customHeight="1" s="16">
      <c r="A170" s="24" t="inlineStr">
        <is>
          <t>AC9M8M07</t>
        </is>
      </c>
      <c r="B170" s="24" t="n">
        <v>8</v>
      </c>
      <c r="C170" s="24" t="inlineStr">
        <is>
          <t>Measurement</t>
        </is>
      </c>
      <c r="D170" s="24" t="inlineStr">
        <is>
          <t>use mathematical modelling to solve practical problems involving ratios and rates, including financial contexts; formulate problems; interpret and communicate solutions in terms of the situation, reviewing the appropriateness of the model</t>
        </is>
      </c>
      <c r="E170" s="24" t="n">
        <v>2</v>
      </c>
      <c r="F170" s="24" t="inlineStr">
        <is>
          <t>modelling problems involving converting money amounts using different exchange rates and applying them when planning and budgeting for overseas travel</t>
        </is>
      </c>
    </row>
    <row r="171" ht="34.5" customHeight="1" s="16">
      <c r="A171" s="24" t="inlineStr">
        <is>
          <t>AC9M8M07</t>
        </is>
      </c>
      <c r="B171" s="24" t="n">
        <v>8</v>
      </c>
      <c r="C171" s="24" t="inlineStr">
        <is>
          <t>Measurement</t>
        </is>
      </c>
      <c r="D171" s="24" t="inlineStr">
        <is>
          <t>use mathematical modelling to solve practical problems involving ratios and rates, including financial contexts; formulate problems; interpret and communicate solutions in terms of the situation, reviewing the appropriateness of the model</t>
        </is>
      </c>
      <c r="E171" s="24" t="n">
        <v>3</v>
      </c>
      <c r="F171" s="24"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6">
      <c r="A172" s="24" t="inlineStr">
        <is>
          <t>AC9M8M07</t>
        </is>
      </c>
      <c r="B172" s="24" t="n">
        <v>8</v>
      </c>
      <c r="C172" s="24" t="inlineStr">
        <is>
          <t>Measurement</t>
        </is>
      </c>
      <c r="D172" s="24" t="inlineStr">
        <is>
          <t>use mathematical modelling to solve practical problems involving ratios and rates, including financial contexts; formulate problems; interpret and communicate solutions in terms of the situation, reviewing the appropriateness of the model</t>
        </is>
      </c>
      <c r="E172" s="24" t="n">
        <v>4</v>
      </c>
      <c r="F172" s="24"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6">
      <c r="A173" s="24" t="inlineStr">
        <is>
          <t>AC9M8M07</t>
        </is>
      </c>
      <c r="B173" s="24" t="n">
        <v>8</v>
      </c>
      <c r="C173" s="24" t="inlineStr">
        <is>
          <t>Measurement</t>
        </is>
      </c>
      <c r="D173" s="24" t="inlineStr">
        <is>
          <t>use mathematical modelling to solve practical problems involving ratios and rates, including financial contexts; formulate problems; interpret and communicate solutions in terms of the situation, reviewing the appropriateness of the model</t>
        </is>
      </c>
      <c r="E173" s="24" t="n">
        <v>5</v>
      </c>
      <c r="F173" s="24"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6">
      <c r="A174" s="24" t="inlineStr">
        <is>
          <t>AC9M8SP01</t>
        </is>
      </c>
      <c r="B174" s="24" t="n">
        <v>8</v>
      </c>
      <c r="C174" s="24" t="inlineStr">
        <is>
          <t>Space</t>
        </is>
      </c>
      <c r="D174" s="24" t="inlineStr">
        <is>
          <t>identify the conditions for congruence and similarity of triangles and explain the conditions for other sets of common shapes to be congruent or similar, including those formed by transformations</t>
        </is>
      </c>
      <c r="E174" s="24" t="n">
        <v>1</v>
      </c>
      <c r="F174" s="24" t="inlineStr">
        <is>
          <t>developing an understanding of what it means for shapes to be congruent or similar</t>
        </is>
      </c>
    </row>
    <row r="175" ht="23.25" customHeight="1" s="16">
      <c r="A175" s="24" t="inlineStr">
        <is>
          <t>AC9M8SP01</t>
        </is>
      </c>
      <c r="B175" s="24" t="n">
        <v>8</v>
      </c>
      <c r="C175" s="24" t="inlineStr">
        <is>
          <t>Space</t>
        </is>
      </c>
      <c r="D175" s="24" t="inlineStr">
        <is>
          <t>identify the conditions for congruence and similarity of triangles and explain the conditions for other sets of common shapes to be congruent or similar, including those formed by transformations</t>
        </is>
      </c>
      <c r="E175" s="24" t="n">
        <v>2</v>
      </c>
      <c r="F175" s="24" t="inlineStr">
        <is>
          <t>using the enlargement transformation and digital tools to develop sets of similar shapes</t>
        </is>
      </c>
    </row>
    <row r="176" ht="23.25" customHeight="1" s="16">
      <c r="A176" s="24" t="inlineStr">
        <is>
          <t>AC9M8SP01</t>
        </is>
      </c>
      <c r="B176" s="24" t="n">
        <v>8</v>
      </c>
      <c r="C176" s="24" t="inlineStr">
        <is>
          <t>Space</t>
        </is>
      </c>
      <c r="D176" s="24" t="inlineStr">
        <is>
          <t>identify the conditions for congruence and similarity of triangles and explain the conditions for other sets of common shapes to be congruent or similar, including those formed by transformations</t>
        </is>
      </c>
      <c r="E176" s="24" t="n">
        <v>3</v>
      </c>
      <c r="F176" s="24" t="inlineStr">
        <is>
          <t>investigating sufficient conditions to establish that 2 triangles are congruent</t>
        </is>
      </c>
    </row>
    <row r="177" ht="23.25" customHeight="1" s="16">
      <c r="A177" s="24" t="inlineStr">
        <is>
          <t>AC9M8SP01</t>
        </is>
      </c>
      <c r="B177" s="24" t="n">
        <v>8</v>
      </c>
      <c r="C177" s="24" t="inlineStr">
        <is>
          <t>Space</t>
        </is>
      </c>
      <c r="D177" s="24" t="inlineStr">
        <is>
          <t>identify the conditions for congruence and similarity of triangles and explain the conditions for other sets of common shapes to be congruent or similar, including those formed by transformations</t>
        </is>
      </c>
      <c r="E177" s="24" t="n">
        <v>4</v>
      </c>
      <c r="F177" s="24" t="inlineStr">
        <is>
          <t>applying logical reasoning and tests for congruence and similarity, to problems and proofs involving plane shapes</t>
        </is>
      </c>
    </row>
    <row r="178" ht="23.25" customHeight="1" s="16">
      <c r="A178" s="24" t="inlineStr">
        <is>
          <t>AC9M8SP01</t>
        </is>
      </c>
      <c r="B178" s="24" t="n">
        <v>8</v>
      </c>
      <c r="C178" s="24" t="inlineStr">
        <is>
          <t>Space</t>
        </is>
      </c>
      <c r="D178" s="24" t="inlineStr">
        <is>
          <t>identify the conditions for congruence and similarity of triangles and explain the conditions for other sets of common shapes to be congruent or similar, including those formed by transformations</t>
        </is>
      </c>
      <c r="E178" s="24" t="n">
        <v>5</v>
      </c>
      <c r="F178" s="24" t="inlineStr">
        <is>
          <t>comparing angle and side measurements of shapes under transformation to answer questions such as “What changes?” and “What stays the same?”</t>
        </is>
      </c>
    </row>
    <row r="179" ht="23.25" customHeight="1" s="16">
      <c r="A179" s="24" t="inlineStr">
        <is>
          <t>AC9M8SP01</t>
        </is>
      </c>
      <c r="B179" s="24" t="n">
        <v>8</v>
      </c>
      <c r="C179" s="24" t="inlineStr">
        <is>
          <t>Space</t>
        </is>
      </c>
      <c r="D179" s="24" t="inlineStr">
        <is>
          <t>identify the conditions for congruence and similarity of triangles and explain the conditions for other sets of common shapes to be congruent or similar, including those formed by transformations</t>
        </is>
      </c>
      <c r="E179" s="24" t="n">
        <v>6</v>
      </c>
      <c r="F179" s="24"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6">
      <c r="A180" s="24" t="inlineStr">
        <is>
          <t>AC9M8SP02</t>
        </is>
      </c>
      <c r="B180" s="24" t="n">
        <v>8</v>
      </c>
      <c r="C180" s="24" t="inlineStr">
        <is>
          <t>Space</t>
        </is>
      </c>
      <c r="D180" s="24" t="inlineStr">
        <is>
          <t>establish properties of quadrilaterals using congruent triangles and angle properties, and solve related problems explaining reasoning</t>
        </is>
      </c>
      <c r="E180" s="24" t="n">
        <v>1</v>
      </c>
      <c r="F180" s="24" t="inlineStr">
        <is>
          <t>establishing the properties of squares, rectangles, parallelograms, rhombuses, trapeziums and kites using geometric properties and proof, such as the sum of the exterior angles of a polygon is equal to a complete turn or 360°</t>
        </is>
      </c>
    </row>
    <row r="181" ht="23.25" customHeight="1" s="16">
      <c r="A181" s="24" t="inlineStr">
        <is>
          <t>AC9M8SP02</t>
        </is>
      </c>
      <c r="B181" s="24" t="n">
        <v>8</v>
      </c>
      <c r="C181" s="24" t="inlineStr">
        <is>
          <t>Space</t>
        </is>
      </c>
      <c r="D181" s="24" t="inlineStr">
        <is>
          <t>establish properties of quadrilaterals using congruent triangles and angle properties, and solve related problems explaining reasoning</t>
        </is>
      </c>
      <c r="E181" s="24" t="n">
        <v>2</v>
      </c>
      <c r="F181" s="24" t="inlineStr">
        <is>
          <t>identifying properties of quadrilaterals related to side lengths, parallel sides, angles, diagonals and symmetry</t>
        </is>
      </c>
    </row>
    <row r="182" ht="23.25" customHeight="1" s="16">
      <c r="A182" s="24" t="inlineStr">
        <is>
          <t>AC9M8SP02</t>
        </is>
      </c>
      <c r="B182" s="24" t="n">
        <v>8</v>
      </c>
      <c r="C182" s="24" t="inlineStr">
        <is>
          <t>Space</t>
        </is>
      </c>
      <c r="D182" s="24" t="inlineStr">
        <is>
          <t>establish properties of quadrilaterals using congruent triangles and angle properties, and solve related problems explaining reasoning</t>
        </is>
      </c>
      <c r="E182" s="24" t="n">
        <v>3</v>
      </c>
      <c r="F182" s="24" t="inlineStr">
        <is>
          <t>applying the properties of triangles and quadrilaterals to construction designs such as car jacks, scissor lifts, folding umbrellas, toolboxes and cherry pickers</t>
        </is>
      </c>
    </row>
    <row r="183" ht="23.25" customHeight="1" s="16">
      <c r="A183" s="24" t="inlineStr">
        <is>
          <t>AC9M8SP03</t>
        </is>
      </c>
      <c r="B183" s="24" t="n">
        <v>8</v>
      </c>
      <c r="C183" s="24" t="inlineStr">
        <is>
          <t>Space</t>
        </is>
      </c>
      <c r="D183" s="24" t="inlineStr">
        <is>
          <t>describe the position and location of objects in 3 dimensions in different ways, including using a three-dimensional coordinate system with the use of dynamic geometric software and other digital tools</t>
        </is>
      </c>
      <c r="E183" s="24" t="n">
        <v>1</v>
      </c>
      <c r="F183" s="24" t="inlineStr">
        <is>
          <t>locating aircraft/drones using latitude, longitude and altitude as a three-dimensional coordinate system</t>
        </is>
      </c>
    </row>
    <row r="184" ht="23.25" customHeight="1" s="16">
      <c r="A184" s="24" t="inlineStr">
        <is>
          <t>AC9M8SP03</t>
        </is>
      </c>
      <c r="B184" s="24" t="n">
        <v>8</v>
      </c>
      <c r="C184" s="24" t="inlineStr">
        <is>
          <t>Space</t>
        </is>
      </c>
      <c r="D184" s="24" t="inlineStr">
        <is>
          <t>describe the position and location of objects in 3 dimensions in different ways, including using a three-dimensional coordinate system with the use of dynamic geometric software and other digital tools</t>
        </is>
      </c>
      <c r="E184" s="24" t="n">
        <v>2</v>
      </c>
      <c r="F184" s="24" t="inlineStr">
        <is>
          <t>constructing three-dimensional objects using 3D printers or designing software that uses a three-dimensional coordinate system</t>
        </is>
      </c>
    </row>
    <row r="185" ht="23.25" customHeight="1" s="16">
      <c r="A185" s="24" t="inlineStr">
        <is>
          <t>AC9M8SP03</t>
        </is>
      </c>
      <c r="B185" s="24" t="n">
        <v>8</v>
      </c>
      <c r="C185" s="24" t="inlineStr">
        <is>
          <t>Space</t>
        </is>
      </c>
      <c r="D185" s="24" t="inlineStr">
        <is>
          <t>describe the position and location of objects in 3 dimensions in different ways, including using a three-dimensional coordinate system with the use of dynamic geometric software and other digital tools</t>
        </is>
      </c>
      <c r="E185" s="24" t="n">
        <v>3</v>
      </c>
      <c r="F185" s="24" t="inlineStr">
        <is>
          <t>comparing and contrasting two-dimensional and three-dimensional coordinate systems by highlighting what is the same and what is different, including virtual maps versus street views</t>
        </is>
      </c>
    </row>
    <row r="186" ht="23.25" customHeight="1" s="16">
      <c r="A186" s="24" t="inlineStr">
        <is>
          <t>AC9M8SP03</t>
        </is>
      </c>
      <c r="B186" s="24" t="n">
        <v>8</v>
      </c>
      <c r="C186" s="24" t="inlineStr">
        <is>
          <t>Space</t>
        </is>
      </c>
      <c r="D186" s="24" t="inlineStr">
        <is>
          <t>describe the position and location of objects in 3 dimensions in different ways, including using a three-dimensional coordinate system with the use of dynamic geometric software and other digital tools</t>
        </is>
      </c>
      <c r="E186" s="24" t="n">
        <v>4</v>
      </c>
      <c r="F186" s="24" t="inlineStr">
        <is>
          <t>using dynamic geometry software to construct shapes and objects within the first quadrant of a three-dimensional coordinate system</t>
        </is>
      </c>
    </row>
    <row r="187" ht="23.25" customHeight="1" s="16">
      <c r="A187" s="24" t="inlineStr">
        <is>
          <t>AC9M8SP03</t>
        </is>
      </c>
      <c r="B187" s="24" t="n">
        <v>8</v>
      </c>
      <c r="C187" s="24" t="inlineStr">
        <is>
          <t>Space</t>
        </is>
      </c>
      <c r="D187" s="24" t="inlineStr">
        <is>
          <t>describe the position and location of objects in 3 dimensions in different ways, including using a three-dimensional coordinate system with the use of dynamic geometric software and other digital tools</t>
        </is>
      </c>
      <c r="E187" s="24" t="n">
        <v>5</v>
      </c>
      <c r="F187" s="24" t="inlineStr">
        <is>
          <t>interpreting three-dimensional coordinate locations for objects in multi-storey car parks; playing games based on three-dimensional coordinate systems such as three-dimensional Noughts and Crosses (Tic-Tac-Toe)</t>
        </is>
      </c>
    </row>
    <row r="188" ht="23.25" customHeight="1" s="16">
      <c r="A188" s="24" t="inlineStr">
        <is>
          <t>AC9M8SP03</t>
        </is>
      </c>
      <c r="B188" s="24" t="n">
        <v>8</v>
      </c>
      <c r="C188" s="24" t="inlineStr">
        <is>
          <t>Space</t>
        </is>
      </c>
      <c r="D188" s="24" t="inlineStr">
        <is>
          <t>describe the position and location of objects in 3 dimensions in different ways, including using a three-dimensional coordinate system with the use of dynamic geometric software and other digital tools</t>
        </is>
      </c>
      <c r="E188" s="24" t="n">
        <v>6</v>
      </c>
      <c r="F188" s="24" t="inlineStr">
        <is>
          <t>exploring position and transformation through geospatial technologies used by First Nations Australians’ communities</t>
        </is>
      </c>
    </row>
    <row r="189" ht="23.25" customHeight="1" s="16">
      <c r="A189" s="24" t="inlineStr">
        <is>
          <t>AC9M8SP04</t>
        </is>
      </c>
      <c r="B189" s="24" t="n">
        <v>8</v>
      </c>
      <c r="C189" s="24" t="inlineStr">
        <is>
          <t>Space</t>
        </is>
      </c>
      <c r="D189" s="24" t="inlineStr">
        <is>
          <t>design, create and test algorithms involving a sequence of steps and decisions that identify congruency or similarity of shapes, and describe how the algorithm works</t>
        </is>
      </c>
      <c r="E189" s="24" t="n">
        <v>1</v>
      </c>
      <c r="F189" s="24" t="inlineStr">
        <is>
          <t>listing the properties or criteria necessary to determine if shapes are similar or congruent</t>
        </is>
      </c>
    </row>
    <row r="190" ht="23.25" customHeight="1" s="16">
      <c r="A190" s="24" t="inlineStr">
        <is>
          <t>AC9M8SP04</t>
        </is>
      </c>
      <c r="B190" s="24" t="n">
        <v>8</v>
      </c>
      <c r="C190" s="24" t="inlineStr">
        <is>
          <t>Space</t>
        </is>
      </c>
      <c r="D190" s="24" t="inlineStr">
        <is>
          <t>design, create and test algorithms involving a sequence of steps and decisions that identify congruency or similarity of shapes, and describe how the algorithm works</t>
        </is>
      </c>
      <c r="E190" s="24" t="n">
        <v>2</v>
      </c>
      <c r="F190" s="24" t="inlineStr">
        <is>
          <t>using the conditions for congruence of triangles and similarity of triangles to develop a sorting algorithm; for example, creating a flow chart</t>
        </is>
      </c>
    </row>
    <row r="191" ht="23.25" customHeight="1" s="16">
      <c r="A191" s="24" t="inlineStr">
        <is>
          <t>AC9M8SP04</t>
        </is>
      </c>
      <c r="B191" s="24" t="n">
        <v>8</v>
      </c>
      <c r="C191" s="24" t="inlineStr">
        <is>
          <t>Space</t>
        </is>
      </c>
      <c r="D191" s="24" t="inlineStr">
        <is>
          <t>design, create and test algorithms involving a sequence of steps and decisions that identify congruency or similarity of shapes, and describe how the algorithm works</t>
        </is>
      </c>
      <c r="E191" s="24" t="n">
        <v>3</v>
      </c>
      <c r="F191" s="24" t="inlineStr">
        <is>
          <t>evaluating algorithms for accuracy in classifying and distinguishing between similar and congruent triangles</t>
        </is>
      </c>
    </row>
    <row r="192" ht="23.25" customHeight="1" s="16">
      <c r="A192" s="24" t="inlineStr">
        <is>
          <t>AC9M8ST01</t>
        </is>
      </c>
      <c r="B192" s="24" t="n">
        <v>8</v>
      </c>
      <c r="C192" s="24" t="inlineStr">
        <is>
          <t>Statistics</t>
        </is>
      </c>
      <c r="D192" s="24" t="inlineStr">
        <is>
          <t>investigate techniques for data collection including census, sampling, experiment and observation, and explain the practicalities and implications of obtaining data through these techniques</t>
        </is>
      </c>
      <c r="E192" s="24" t="n">
        <v>1</v>
      </c>
      <c r="F192" s="24" t="inlineStr">
        <is>
          <t>identifying situations where data can be collected by census and those where a sample is appropriate</t>
        </is>
      </c>
    </row>
    <row r="193" ht="34.5" customHeight="1" s="16">
      <c r="A193" s="24" t="inlineStr">
        <is>
          <t>AC9M8ST01</t>
        </is>
      </c>
      <c r="B193" s="24" t="n">
        <v>8</v>
      </c>
      <c r="C193" s="24" t="inlineStr">
        <is>
          <t>Statistics</t>
        </is>
      </c>
      <c r="D193" s="24" t="inlineStr">
        <is>
          <t>investigate techniques for data collection including census, sampling, experiment and observation, and explain the practicalities and implications of obtaining data through these techniques</t>
        </is>
      </c>
      <c r="E193" s="24" t="n">
        <v>2</v>
      </c>
      <c r="F193" s="24"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6">
      <c r="A194" s="24" t="inlineStr">
        <is>
          <t>AC9M8ST01</t>
        </is>
      </c>
      <c r="B194" s="24" t="n">
        <v>8</v>
      </c>
      <c r="C194" s="24" t="inlineStr">
        <is>
          <t>Statistics</t>
        </is>
      </c>
      <c r="D194" s="24" t="inlineStr">
        <is>
          <t>investigate techniques for data collection including census, sampling, experiment and observation, and explain the practicalities and implications of obtaining data through these techniques</t>
        </is>
      </c>
      <c r="E194" s="24" t="n">
        <v>3</v>
      </c>
      <c r="F194" s="24"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6">
      <c r="A195" s="24" t="inlineStr">
        <is>
          <t>AC9M8ST01</t>
        </is>
      </c>
      <c r="B195" s="24" t="n">
        <v>8</v>
      </c>
      <c r="C195" s="24" t="inlineStr">
        <is>
          <t>Statistics</t>
        </is>
      </c>
      <c r="D195" s="24" t="inlineStr">
        <is>
          <t>investigate techniques for data collection including census, sampling, experiment and observation, and explain the practicalities and implications of obtaining data through these techniques</t>
        </is>
      </c>
      <c r="E195" s="24" t="n">
        <v>4</v>
      </c>
      <c r="F195" s="24" t="inlineStr">
        <is>
          <t>using digital tools such as simulations and digital measuring devices to observe, measure and record qualitative and quantitative data, discussing precision and the implications of error</t>
        </is>
      </c>
    </row>
    <row r="196" ht="23.25" customHeight="1" s="16">
      <c r="A196" s="24" t="inlineStr">
        <is>
          <t>AC9M8ST02</t>
        </is>
      </c>
      <c r="B196" s="24" t="n">
        <v>8</v>
      </c>
      <c r="C196" s="24" t="inlineStr">
        <is>
          <t>Statistics</t>
        </is>
      </c>
      <c r="D196" s="24" t="inlineStr">
        <is>
          <t>analyse and report on the distribution of data from primary and secondary sources using random and non-random sampling techniques to select and study samples</t>
        </is>
      </c>
      <c r="E196" s="24" t="n">
        <v>1</v>
      </c>
      <c r="F196" s="24" t="inlineStr">
        <is>
          <t>investigating different methods of sampling used to collect data, considering the source and size of samples</t>
        </is>
      </c>
    </row>
    <row r="197" ht="23.25" customHeight="1" s="16">
      <c r="A197" s="24" t="inlineStr">
        <is>
          <t>AC9M8ST02</t>
        </is>
      </c>
      <c r="B197" s="24" t="n">
        <v>8</v>
      </c>
      <c r="C197" s="24" t="inlineStr">
        <is>
          <t>Statistics</t>
        </is>
      </c>
      <c r="D197" s="24" t="inlineStr">
        <is>
          <t>analyse and report on the distribution of data from primary and secondary sources using random and non-random sampling techniques to select and study samples</t>
        </is>
      </c>
      <c r="E197" s="24" t="n">
        <v>2</v>
      </c>
      <c r="F197" s="24" t="inlineStr">
        <is>
          <t>comparing the sampling methods of simple random, systematic, stratified, quota, clustered or convenience, or judgement, and discussing the reliability of conclusions about the context that could be drawn</t>
        </is>
      </c>
    </row>
    <row r="198" ht="23.25" customHeight="1" s="16">
      <c r="A198" s="24" t="inlineStr">
        <is>
          <t>AC9M8ST02</t>
        </is>
      </c>
      <c r="B198" s="24" t="n">
        <v>8</v>
      </c>
      <c r="C198" s="24" t="inlineStr">
        <is>
          <t>Statistics</t>
        </is>
      </c>
      <c r="D198" s="24" t="inlineStr">
        <is>
          <t>analyse and report on the distribution of data from primary and secondary sources using random and non-random sampling techniques to select and study samples</t>
        </is>
      </c>
      <c r="E198" s="24" t="n">
        <v>3</v>
      </c>
      <c r="F198" s="24" t="inlineStr">
        <is>
          <t>defining and distinguishing between probabilistic terms such as random, sample space, sample and sample distribution</t>
        </is>
      </c>
    </row>
    <row r="199" ht="23.25" customHeight="1" s="16">
      <c r="A199" s="24" t="inlineStr">
        <is>
          <t>AC9M8ST02</t>
        </is>
      </c>
      <c r="B199" s="24" t="n">
        <v>8</v>
      </c>
      <c r="C199" s="24" t="inlineStr">
        <is>
          <t>Statistics</t>
        </is>
      </c>
      <c r="D199" s="24" t="inlineStr">
        <is>
          <t>analyse and report on the distribution of data from primary and secondary sources using random and non-random sampling techniques to select and study samples</t>
        </is>
      </c>
      <c r="E199" s="24" t="n">
        <v>4</v>
      </c>
      <c r="F199" s="24" t="inlineStr">
        <is>
          <t>investigating primary and secondary data sources relating to reconciliation between First Nations Australians and non-Indigenous Australians, analysing and reporting on findings</t>
        </is>
      </c>
    </row>
    <row r="200" ht="23.25" customHeight="1" s="16">
      <c r="A200" s="24" t="inlineStr">
        <is>
          <t>AC9M8ST03</t>
        </is>
      </c>
      <c r="B200" s="24" t="n">
        <v>8</v>
      </c>
      <c r="C200" s="24" t="inlineStr">
        <is>
          <t>Statistics</t>
        </is>
      </c>
      <c r="D200" s="24" t="inlineStr">
        <is>
          <t>compare variations in distributions and proportions obtained from random samples of the same size drawn from a population and recognise the effect of sample size on this variation</t>
        </is>
      </c>
      <c r="E200" s="24" t="n">
        <v>1</v>
      </c>
      <c r="F200" s="24" t="inlineStr">
        <is>
          <t>comparing the proportion of students in favour of a proposal for a change in school uniform between different random samples of 50 students from the school population</t>
        </is>
      </c>
    </row>
    <row r="201" ht="23.25" customHeight="1" s="16">
      <c r="A201" s="24" t="inlineStr">
        <is>
          <t>AC9M8ST03</t>
        </is>
      </c>
      <c r="B201" s="24" t="n">
        <v>8</v>
      </c>
      <c r="C201" s="24" t="inlineStr">
        <is>
          <t>Statistics</t>
        </is>
      </c>
      <c r="D201" s="24" t="inlineStr">
        <is>
          <t>compare variations in distributions and proportions obtained from random samples of the same size drawn from a population and recognise the effect of sample size on this variation</t>
        </is>
      </c>
      <c r="E201" s="24" t="n">
        <v>2</v>
      </c>
      <c r="F201" s="24" t="inlineStr">
        <is>
          <t>using digital tools to simulate repeated sampling of the same population, such as heights or arm spans of students, recording and comparing means, median and range of data between samples</t>
        </is>
      </c>
    </row>
    <row r="202" ht="23.25" customHeight="1" s="16">
      <c r="A202" s="24" t="inlineStr">
        <is>
          <t>AC9M8ST03</t>
        </is>
      </c>
      <c r="B202" s="24" t="n">
        <v>8</v>
      </c>
      <c r="C202" s="24" t="inlineStr">
        <is>
          <t>Statistics</t>
        </is>
      </c>
      <c r="D202" s="24" t="inlineStr">
        <is>
          <t>compare variations in distributions and proportions obtained from random samples of the same size drawn from a population and recognise the effect of sample size on this variation</t>
        </is>
      </c>
      <c r="E202" s="24" t="n">
        <v>3</v>
      </c>
      <c r="F202" s="24" t="inlineStr">
        <is>
          <t>using relative frequencies from historical data to predict proportions and the likely number of outcomes in situations such as weather forecasting or the countries of origin of visitors to tourist attractions</t>
        </is>
      </c>
    </row>
    <row r="203" ht="23.25" customHeight="1" s="16">
      <c r="A203" s="24" t="inlineStr">
        <is>
          <t>AC9M8ST03</t>
        </is>
      </c>
      <c r="B203" s="24" t="n">
        <v>8</v>
      </c>
      <c r="C203" s="24" t="inlineStr">
        <is>
          <t>Statistics</t>
        </is>
      </c>
      <c r="D203" s="24" t="inlineStr">
        <is>
          <t>compare variations in distributions and proportions obtained from random samples of the same size drawn from a population and recognise the effect of sample size on this variation</t>
        </is>
      </c>
      <c r="E203" s="24" t="n">
        <v>4</v>
      </c>
      <c r="F203" s="24" t="inlineStr">
        <is>
          <t>investigating the effect that adding or removing data from a data set has on measures of central tendency and spread</t>
        </is>
      </c>
    </row>
    <row r="204" ht="23.25" customHeight="1" s="16">
      <c r="A204" s="24" t="inlineStr">
        <is>
          <t>AC9M8ST03</t>
        </is>
      </c>
      <c r="B204" s="24" t="n">
        <v>8</v>
      </c>
      <c r="C204" s="24" t="inlineStr">
        <is>
          <t>Statistics</t>
        </is>
      </c>
      <c r="D204" s="24" t="inlineStr">
        <is>
          <t>compare variations in distributions and proportions obtained from random samples of the same size drawn from a population and recognise the effect of sample size on this variation</t>
        </is>
      </c>
      <c r="E204" s="24" t="n">
        <v>5</v>
      </c>
      <c r="F204" s="24" t="inlineStr">
        <is>
          <t>investigating First Nations Ranger Groups and other groups’ use of sampling techniques to track biodiversity of species</t>
        </is>
      </c>
    </row>
    <row r="205" ht="23.25" customHeight="1" s="16">
      <c r="A205" s="24" t="inlineStr">
        <is>
          <t>AC9M8ST04</t>
        </is>
      </c>
      <c r="B205" s="24" t="n">
        <v>8</v>
      </c>
      <c r="C205" s="24" t="inlineStr">
        <is>
          <t>Statistics</t>
        </is>
      </c>
      <c r="D205" s="24" t="inlineStr">
        <is>
          <t>plan and conduct statistical investigations involving samples of a population; use ethical and fair methods to make inferences about the population and report findings, acknowledging uncertainty</t>
        </is>
      </c>
      <c r="E205" s="24" t="n">
        <v>1</v>
      </c>
      <c r="F205" s="24" t="inlineStr">
        <is>
          <t>using data such as electricity consumption to draw conclusions about the impacts of events, such as pandemics, on households or business</t>
        </is>
      </c>
    </row>
    <row r="206" ht="23.25" customHeight="1" s="16">
      <c r="A206" s="24" t="inlineStr">
        <is>
          <t>AC9M8ST04</t>
        </is>
      </c>
      <c r="B206" s="24" t="n">
        <v>8</v>
      </c>
      <c r="C206" s="24" t="inlineStr">
        <is>
          <t>Statistics</t>
        </is>
      </c>
      <c r="D206" s="24" t="inlineStr">
        <is>
          <t>plan and conduct statistical investigations involving samples of a population; use ethical and fair methods to make inferences about the population and report findings, acknowledging uncertainty</t>
        </is>
      </c>
      <c r="E206" s="24" t="n">
        <v>2</v>
      </c>
      <c r="F206" s="24" t="inlineStr">
        <is>
          <t>identifying situations where the collection of data from a sample is necessary due to efficiency, cost or restricted time for collection of data, and sufficiently reliable for making inferences about a population</t>
        </is>
      </c>
    </row>
    <row r="207" ht="23.25" customHeight="1" s="16">
      <c r="A207" s="24" t="inlineStr">
        <is>
          <t>AC9M8ST04</t>
        </is>
      </c>
      <c r="B207" s="24" t="n">
        <v>8</v>
      </c>
      <c r="C207" s="24" t="inlineStr">
        <is>
          <t>Statistics</t>
        </is>
      </c>
      <c r="D207" s="24" t="inlineStr">
        <is>
          <t>plan and conduct statistical investigations involving samples of a population; use ethical and fair methods to make inferences about the population and report findings, acknowledging uncertainty</t>
        </is>
      </c>
      <c r="E207" s="24" t="n">
        <v>3</v>
      </c>
      <c r="F207" s="24" t="inlineStr">
        <is>
          <t>exploring progress in reconciliation between First Nations Australians and non-Indigenous Australians, investigating and evaluating sampling techniques and methods to gather relevant data to measure progress</t>
        </is>
      </c>
    </row>
    <row r="208" ht="23.25" customHeight="1" s="16">
      <c r="A208" s="24" t="inlineStr">
        <is>
          <t>AC9M8P01</t>
        </is>
      </c>
      <c r="B208" s="24" t="n">
        <v>8</v>
      </c>
      <c r="C208" s="24" t="inlineStr">
        <is>
          <t>Probability</t>
        </is>
      </c>
      <c r="D208" s="24" t="inlineStr">
        <is>
          <t>recognise that complementary events have a combined probability of one; use this relationship to calculate probabilities in applied contexts</t>
        </is>
      </c>
      <c r="E208" s="24" t="n">
        <v>1</v>
      </c>
      <c r="F208" s="24"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6">
      <c r="A209" s="24" t="inlineStr">
        <is>
          <t>AC9M8P01</t>
        </is>
      </c>
      <c r="B209" s="24" t="n">
        <v>8</v>
      </c>
      <c r="C209" s="24" t="inlineStr">
        <is>
          <t>Probability</t>
        </is>
      </c>
      <c r="D209" s="24" t="inlineStr">
        <is>
          <t>recognise that complementary events have a combined probability of one; use this relationship to calculate probabilities in applied contexts</t>
        </is>
      </c>
      <c r="E209" s="24" t="n">
        <v>2</v>
      </c>
      <c r="F209" s="24"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6">
      <c r="A210" s="24" t="inlineStr">
        <is>
          <t>AC9M8P01</t>
        </is>
      </c>
      <c r="B210" s="24" t="n">
        <v>8</v>
      </c>
      <c r="C210" s="24" t="inlineStr">
        <is>
          <t>Probability</t>
        </is>
      </c>
      <c r="D210" s="24" t="inlineStr">
        <is>
          <t>recognise that complementary events have a combined probability of one; use this relationship to calculate probabilities in applied contexts</t>
        </is>
      </c>
      <c r="E210" s="24" t="n">
        <v>3</v>
      </c>
      <c r="F210" s="24" t="inlineStr">
        <is>
          <t>using the sum of probabilities to solve problems, such as the probability of starting a game by throwing a 5 or 6 on a dice is 1/3 and probability of not throwing a 5 or 6 is 2/3</t>
        </is>
      </c>
    </row>
    <row r="211" ht="23.25" customHeight="1" s="16">
      <c r="A211" s="24" t="inlineStr">
        <is>
          <t>AC9M8P02</t>
        </is>
      </c>
      <c r="B211" s="24" t="n">
        <v>8</v>
      </c>
      <c r="C211" s="24" t="inlineStr">
        <is>
          <t>Probability</t>
        </is>
      </c>
      <c r="D211" s="24" t="inlineStr">
        <is>
          <t>determine all possible combinations for 2 events, using two-way tables, tree diagrams and Venn diagrams, and use these to determine probabilities of specific outcomes in practical situations</t>
        </is>
      </c>
      <c r="E211" s="24" t="n">
        <v>1</v>
      </c>
      <c r="F211" s="24" t="inlineStr">
        <is>
          <t>describing events using language of “at least”, exclusive “or” (A or B but not both), inclusive “or” (A or B or both) and “and”</t>
        </is>
      </c>
    </row>
    <row r="212" ht="23.25" customHeight="1" s="16">
      <c r="A212" s="24" t="inlineStr">
        <is>
          <t>AC9M8P02</t>
        </is>
      </c>
      <c r="B212" s="24" t="n">
        <v>8</v>
      </c>
      <c r="C212" s="24" t="inlineStr">
        <is>
          <t>Probability</t>
        </is>
      </c>
      <c r="D212" s="24" t="inlineStr">
        <is>
          <t>determine all possible combinations for 2 events, using two-way tables, tree diagrams and Venn diagrams, and use these to determine probabilities of specific outcomes in practical situations</t>
        </is>
      </c>
      <c r="E212" s="24" t="n">
        <v>2</v>
      </c>
      <c r="F212" s="24" t="inlineStr">
        <is>
          <t>using the relation Pr(A and B) + Pr(A and not B) + Pr(not A and B) + Pr(not A and not B) = 1 to calculate probabilities, including the special case of mutually exclusive events where Pr(A and B) = 0</t>
        </is>
      </c>
    </row>
    <row r="213" ht="34.5" customHeight="1" s="16">
      <c r="A213" s="24" t="inlineStr">
        <is>
          <t>AC9M8P02</t>
        </is>
      </c>
      <c r="B213" s="24" t="n">
        <v>8</v>
      </c>
      <c r="C213" s="24" t="inlineStr">
        <is>
          <t>Probability</t>
        </is>
      </c>
      <c r="D213" s="24" t="inlineStr">
        <is>
          <t>determine all possible combinations for 2 events, using two-way tables, tree diagrams and Venn diagrams, and use these to determine probabilities of specific outcomes in practical situations</t>
        </is>
      </c>
      <c r="E213" s="24" t="n">
        <v>3</v>
      </c>
      <c r="F213" s="24"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6">
      <c r="A214" s="24" t="inlineStr">
        <is>
          <t>AC9M8P02</t>
        </is>
      </c>
      <c r="B214" s="24" t="n">
        <v>8</v>
      </c>
      <c r="C214" s="24" t="inlineStr">
        <is>
          <t>Probability</t>
        </is>
      </c>
      <c r="D214" s="24" t="inlineStr">
        <is>
          <t>determine all possible combinations for 2 events, using two-way tables, tree diagrams and Venn diagrams, and use these to determine probabilities of specific outcomes in practical situations</t>
        </is>
      </c>
      <c r="E214" s="24" t="n">
        <v>4</v>
      </c>
      <c r="F214" s="24"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6">
      <c r="A215" s="24" t="inlineStr">
        <is>
          <t>AC9M8P03</t>
        </is>
      </c>
      <c r="B215" s="24" t="n">
        <v>8</v>
      </c>
      <c r="C215" s="24" t="inlineStr">
        <is>
          <t>Probability</t>
        </is>
      </c>
      <c r="D215" s="24" t="inlineStr">
        <is>
          <t>conduct repeated chance experiments and simulations, using digital tools to determine probabilities for compound events, and describe results</t>
        </is>
      </c>
      <c r="E215" s="24" t="n">
        <v>1</v>
      </c>
      <c r="F215" s="24" t="inlineStr">
        <is>
          <t>using digital tools to conduct probability simulations involving compound events</t>
        </is>
      </c>
    </row>
    <row r="216" ht="23.25" customHeight="1" s="16">
      <c r="A216" s="24" t="inlineStr">
        <is>
          <t>AC9M8P03</t>
        </is>
      </c>
      <c r="B216" s="24" t="n">
        <v>8</v>
      </c>
      <c r="C216" s="24" t="inlineStr">
        <is>
          <t>Probability</t>
        </is>
      </c>
      <c r="D216" s="24" t="inlineStr">
        <is>
          <t>conduct repeated chance experiments and simulations, using digital tools to determine probabilities for compound events, and describe results</t>
        </is>
      </c>
      <c r="E216" s="24" t="n">
        <v>2</v>
      </c>
      <c r="F216" s="24" t="inlineStr">
        <is>
          <t>using a random number generator and digital tools to simulate rolling 2 dice and calculating the difference between them, investigating what difference is likely to occur more often</t>
        </is>
      </c>
    </row>
    <row r="217" ht="23.25" customHeight="1" s="16">
      <c r="A217" s="24" t="inlineStr">
        <is>
          <t>AC9M8P03</t>
        </is>
      </c>
      <c r="B217" s="24" t="n">
        <v>8</v>
      </c>
      <c r="C217" s="24" t="inlineStr">
        <is>
          <t>Probability</t>
        </is>
      </c>
      <c r="D217" s="24" t="inlineStr">
        <is>
          <t>conduct repeated chance experiments and simulations, using digital tools to determine probabilities for compound events, and describe results</t>
        </is>
      </c>
      <c r="E217" s="24" t="n">
        <v>3</v>
      </c>
      <c r="F217" s="24" t="inlineStr">
        <is>
          <t>using online simulation software to conduct probability simulations to determine in the long run if events are complementary</t>
        </is>
      </c>
    </row>
    <row r="218" ht="23.25" customHeight="1" s="16">
      <c r="A218" s="24" t="inlineStr">
        <is>
          <t>AC9M9N01</t>
        </is>
      </c>
      <c r="B218" s="24" t="n">
        <v>9</v>
      </c>
      <c r="C218" s="24" t="inlineStr">
        <is>
          <t>Number</t>
        </is>
      </c>
      <c r="D218" s="24" t="inlineStr">
        <is>
          <t>recognise that the real number system includes the rational numbers and the irrational numbers, and solve problems involving real numbers using digital tools</t>
        </is>
      </c>
      <c r="E218" s="24" t="n">
        <v>1</v>
      </c>
      <c r="F218" s="24"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6">
      <c r="A219" s="24" t="inlineStr">
        <is>
          <t>AC9M9N01</t>
        </is>
      </c>
      <c r="B219" s="24" t="n">
        <v>9</v>
      </c>
      <c r="C219" s="24" t="inlineStr">
        <is>
          <t>Number</t>
        </is>
      </c>
      <c r="D219" s="24" t="inlineStr">
        <is>
          <t>recognise that the real number system includes the rational numbers and the irrational numbers, and solve problems involving real numbers using digital tools</t>
        </is>
      </c>
      <c r="E219" s="24" t="n">
        <v>2</v>
      </c>
      <c r="F219" s="24" t="inlineStr">
        <is>
          <t>using a real number line to indicate the solution interval for inequalities of the form ax+b &lt;c ; for example, 2x+7&lt;0, or of the form ax+b&gt;c ; for example, 1.2x-5.4&gt;10.8</t>
        </is>
      </c>
    </row>
    <row r="220" ht="23.25" customHeight="1" s="16">
      <c r="A220" s="24" t="inlineStr">
        <is>
          <t>AC9M9N01</t>
        </is>
      </c>
      <c r="B220" s="24" t="n">
        <v>9</v>
      </c>
      <c r="C220" s="24" t="inlineStr">
        <is>
          <t>Number</t>
        </is>
      </c>
      <c r="D220" s="24" t="inlineStr">
        <is>
          <t>recognise that the real number system includes the rational numbers and the irrational numbers, and solve problems involving real numbers using digital tools</t>
        </is>
      </c>
      <c r="E220" s="24" t="n">
        <v>3</v>
      </c>
      <c r="F220" s="24" t="inlineStr">
        <is>
          <t>using positive and negative rational numbers to solve problems; for example, for financial planning such as budgeting</t>
        </is>
      </c>
    </row>
    <row r="221" ht="45.75" customHeight="1" s="16">
      <c r="A221" s="24" t="inlineStr">
        <is>
          <t>AC9M9N01</t>
        </is>
      </c>
      <c r="B221" s="24" t="n">
        <v>9</v>
      </c>
      <c r="C221" s="24" t="inlineStr">
        <is>
          <t>Number</t>
        </is>
      </c>
      <c r="D221" s="24" t="inlineStr">
        <is>
          <t>recognise that the real number system includes the rational numbers and the irrational numbers, and solve problems involving real numbers using digital tools</t>
        </is>
      </c>
      <c r="E221" s="24" t="n">
        <v>4</v>
      </c>
      <c r="F221" s="24"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6">
      <c r="A222" s="24" t="inlineStr">
        <is>
          <t>AC9M9N01</t>
        </is>
      </c>
      <c r="B222" s="24" t="n">
        <v>9</v>
      </c>
      <c r="C222" s="24" t="inlineStr">
        <is>
          <t>Number</t>
        </is>
      </c>
      <c r="D222" s="24" t="inlineStr">
        <is>
          <t>recognise that the real number system includes the rational numbers and the irrational numbers, and solve problems involving real numbers using digital tools</t>
        </is>
      </c>
      <c r="E222" s="24" t="n">
        <v>5</v>
      </c>
      <c r="F222" s="24"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6">
      <c r="A223" s="24" t="inlineStr">
        <is>
          <t>AC9M9A01</t>
        </is>
      </c>
      <c r="B223" s="24" t="n">
        <v>9</v>
      </c>
      <c r="C223" s="24" t="inlineStr">
        <is>
          <t>Algebra</t>
        </is>
      </c>
      <c r="D223" s="24" t="inlineStr">
        <is>
          <t>apply the exponent laws to numerical expressions with integer exponents and extend to variables</t>
        </is>
      </c>
      <c r="E223" s="24" t="n">
        <v>1</v>
      </c>
      <c r="F223" s="24" t="inlineStr">
        <is>
          <t>representing decimals in exponential form; for example, 0.475 can be represented as 0.475=4/10+7/100+5/1000=4×10⁻¹+7×10⁻²+5×10⁻³ and 0.00023 as 23 x 10-5</t>
        </is>
      </c>
    </row>
    <row r="224" ht="34.5" customHeight="1" s="16">
      <c r="A224" s="24" t="inlineStr">
        <is>
          <t>AC9M9A01</t>
        </is>
      </c>
      <c r="B224" s="24" t="n">
        <v>9</v>
      </c>
      <c r="C224" s="24" t="inlineStr">
        <is>
          <t>Algebra</t>
        </is>
      </c>
      <c r="D224" s="24" t="inlineStr">
        <is>
          <t>apply the exponent laws to numerical expressions with integer exponents and extend to variables</t>
        </is>
      </c>
      <c r="E224" s="24" t="n">
        <v>2</v>
      </c>
      <c r="F224" s="24"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6">
      <c r="A225" s="24" t="inlineStr">
        <is>
          <t>AC9M9A01</t>
        </is>
      </c>
      <c r="B225" s="24" t="n">
        <v>9</v>
      </c>
      <c r="C225" s="24" t="inlineStr">
        <is>
          <t>Algebra</t>
        </is>
      </c>
      <c r="D225" s="24" t="inlineStr">
        <is>
          <t>apply the exponent laws to numerical expressions with integer exponents and extend to variables</t>
        </is>
      </c>
      <c r="E225" s="24" t="n">
        <v>3</v>
      </c>
      <c r="F225" s="24" t="inlineStr">
        <is>
          <t>relating the computation of numerical expressions involving exponents to the exponent laws and the definition of an exponent; for example, 2³÷2⁵=2⁻²=1/2²=1/4 and (3×5)²=3²×5²=9×25=225</t>
        </is>
      </c>
    </row>
    <row r="226" ht="23.25" customHeight="1" s="16">
      <c r="A226" s="24" t="inlineStr">
        <is>
          <t>AC9M9A01</t>
        </is>
      </c>
      <c r="B226" s="24" t="n">
        <v>9</v>
      </c>
      <c r="C226" s="24" t="inlineStr">
        <is>
          <t>Algebra</t>
        </is>
      </c>
      <c r="D226" s="24" t="inlineStr">
        <is>
          <t>apply the exponent laws to numerical expressions with integer exponents and extend to variables</t>
        </is>
      </c>
      <c r="E226" s="24" t="n">
        <v>4</v>
      </c>
      <c r="F226" s="24" t="inlineStr">
        <is>
          <t>recognising exponents in algebraic expressions and applying the relevant exponent laws and conventions; for example, for any non-zero natural number a, a⁰=1, x¹=x, r²=r×r, h³=h×h×h, y⁴=y×y×y×y, and 1/w×1/w=1/w²=w⁻²</t>
        </is>
      </c>
    </row>
    <row r="227" ht="34.5" customHeight="1" s="16">
      <c r="A227" s="24" t="inlineStr">
        <is>
          <t>AC9M9A01</t>
        </is>
      </c>
      <c r="B227" s="24" t="n">
        <v>9</v>
      </c>
      <c r="C227" s="24" t="inlineStr">
        <is>
          <t>Algebra</t>
        </is>
      </c>
      <c r="D227" s="24" t="inlineStr">
        <is>
          <t>apply the exponent laws to numerical expressions with integer exponents and extend to variables</t>
        </is>
      </c>
      <c r="E227" s="24" t="n">
        <v>5</v>
      </c>
      <c r="F227" s="24" t="inlineStr">
        <is>
          <t>relating simplification of expressions from first principles and counting to the use of exponent laws; for example, (a²)³=(a×a)×(a×a)×(a×a)=a×a×a×a×a×a=a⁶; b²×b³=(b×b)×(b×b×b)=b×b×b×b×b=b⁵; y⁴/y²=y×y×y×y/y×y=y²/1=y² and (5a)²=(5×a)×(5×a)=5 ×5×a×a=25×a²=25a²</t>
        </is>
      </c>
    </row>
    <row r="228" ht="23.25" customHeight="1" s="16">
      <c r="A228" s="24" t="inlineStr">
        <is>
          <t>AC9M9A01</t>
        </is>
      </c>
      <c r="B228" s="24" t="n">
        <v>9</v>
      </c>
      <c r="C228" s="24" t="inlineStr">
        <is>
          <t>Algebra</t>
        </is>
      </c>
      <c r="D228" s="24" t="inlineStr">
        <is>
          <t>apply the exponent laws to numerical expressions with integer exponents and extend to variables</t>
        </is>
      </c>
      <c r="E228" s="24" t="n">
        <v>6</v>
      </c>
      <c r="F228" s="24" t="inlineStr">
        <is>
          <t>applying the exponent laws to simplifying expressions involving products, quotients, and powers of constants and variables; for example, (2xy)³/xy⁴=8x³y³/xy⁴=8x²y⁻¹</t>
        </is>
      </c>
    </row>
    <row r="229" ht="23.25" customHeight="1" s="16">
      <c r="A229" s="24" t="inlineStr">
        <is>
          <t>AC9M9A01</t>
        </is>
      </c>
      <c r="B229" s="24" t="n">
        <v>9</v>
      </c>
      <c r="C229" s="24" t="inlineStr">
        <is>
          <t>Algebra</t>
        </is>
      </c>
      <c r="D229" s="24" t="inlineStr">
        <is>
          <t>apply the exponent laws to numerical expressions with integer exponents and extend to variables</t>
        </is>
      </c>
      <c r="E229" s="24" t="n">
        <v>7</v>
      </c>
      <c r="F229" s="24" t="inlineStr">
        <is>
          <t>relating the prefixes for SI units from pico- (trillionth) to tera- (trillion) to the corresponding powers of 10; for example, one pico-gram = 10-12 gram and one terabyte = 1012 bytes</t>
        </is>
      </c>
    </row>
    <row r="230" ht="23.25" customHeight="1" s="16">
      <c r="A230" s="24" t="inlineStr">
        <is>
          <t>AC9M9A02</t>
        </is>
      </c>
      <c r="B230" s="24" t="n">
        <v>9</v>
      </c>
      <c r="C230" s="24" t="inlineStr">
        <is>
          <t>Algebra</t>
        </is>
      </c>
      <c r="D230" s="24" t="inlineStr">
        <is>
          <t>simplify algebraic expressions, expand binomial products and factorise monic quadratic expressions</t>
        </is>
      </c>
      <c r="E230" s="24" t="n">
        <v>1</v>
      </c>
      <c r="F230" s="24" t="inlineStr">
        <is>
          <t>expanding combinations of binomials such as (x+7)(x+8), (x+7)(x-8), (x-7)(x+8), (x-7)(x-8) to identify expansion and factorisation patterns related to (x+a)(x+b)=x²+(a+b)x+ab, where a and b are integers</t>
        </is>
      </c>
    </row>
    <row r="231" ht="23.25" customHeight="1" s="16">
      <c r="A231" s="24" t="inlineStr">
        <is>
          <t>AC9M9A02</t>
        </is>
      </c>
      <c r="B231" s="24" t="n">
        <v>9</v>
      </c>
      <c r="C231" s="24" t="inlineStr">
        <is>
          <t>Algebra</t>
        </is>
      </c>
      <c r="D231" s="24" t="inlineStr">
        <is>
          <t>simplify algebraic expressions, expand binomial products and factorise monic quadratic expressions</t>
        </is>
      </c>
      <c r="E231" s="24" t="n">
        <v>2</v>
      </c>
      <c r="F231" s="24" t="inlineStr">
        <is>
          <t>using manipulatives such as algebra tiles or area models to expand or factorise algebraic expressions with readily identifiable binomial factors; for example, (x+1)(x+3)=x²+4x+3, (x-5)²=x²-10x+25 or (x-3)²+4=x²-6x+9+4=x²-6x+13</t>
        </is>
      </c>
    </row>
    <row r="232" ht="23.25" customHeight="1" s="16">
      <c r="A232" s="24" t="inlineStr">
        <is>
          <t>AC9M9A02</t>
        </is>
      </c>
      <c r="B232" s="24" t="n">
        <v>9</v>
      </c>
      <c r="C232" s="24" t="inlineStr">
        <is>
          <t>Algebra</t>
        </is>
      </c>
      <c r="D232" s="24" t="inlineStr">
        <is>
          <t>simplify algebraic expressions, expand binomial products and factorise monic quadratic expressions</t>
        </is>
      </c>
      <c r="E232" s="24" t="n">
        <v>3</v>
      </c>
      <c r="F232" s="24" t="inlineStr">
        <is>
          <t>recognising the relationship between expansion and factorisation, and using digital tools to systematically explore the factorisation of x²+mx+n where m and n are integers</t>
        </is>
      </c>
    </row>
    <row r="233" ht="23.25" customHeight="1" s="16">
      <c r="A233" s="24" t="inlineStr">
        <is>
          <t>AC9M9A03</t>
        </is>
      </c>
      <c r="B233" s="24" t="n">
        <v>9</v>
      </c>
      <c r="C233" s="24" t="inlineStr">
        <is>
          <t>Algebra</t>
        </is>
      </c>
      <c r="D233" s="24" t="inlineStr">
        <is>
          <t>find the gradient of a line segment, the midpoint of the line interval and the distance between 2 distinct points on the Cartesian plane</t>
        </is>
      </c>
      <c r="E233" s="24" t="n">
        <v>1</v>
      </c>
      <c r="F233" s="24" t="inlineStr">
        <is>
          <t>recognising that the gradient of a line is calculated using the gradient of a line segment on that line and is independent of which 2 distinct points on the line are used for this calculation</t>
        </is>
      </c>
    </row>
    <row r="234" ht="23.25" customHeight="1" s="16">
      <c r="A234" s="24" t="inlineStr">
        <is>
          <t>AC9M9A03</t>
        </is>
      </c>
      <c r="B234" s="24" t="n">
        <v>9</v>
      </c>
      <c r="C234" s="24" t="inlineStr">
        <is>
          <t>Algebra</t>
        </is>
      </c>
      <c r="D234" s="24" t="inlineStr">
        <is>
          <t>find the gradient of a line segment, the midpoint of the line interval and the distance between 2 distinct points on the Cartesian plane</t>
        </is>
      </c>
      <c r="E234" s="24" t="n">
        <v>2</v>
      </c>
      <c r="F234" s="24"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6">
      <c r="A235" s="24" t="inlineStr">
        <is>
          <t>AC9M9A03</t>
        </is>
      </c>
      <c r="B235" s="24" t="n">
        <v>9</v>
      </c>
      <c r="C235" s="24" t="inlineStr">
        <is>
          <t>Algebra</t>
        </is>
      </c>
      <c r="D235" s="24" t="inlineStr">
        <is>
          <t>find the gradient of a line segment, the midpoint of the line interval and the distance between 2 distinct points on the Cartesian plane</t>
        </is>
      </c>
      <c r="E235" s="24" t="n">
        <v>3</v>
      </c>
      <c r="F235" s="24" t="inlineStr">
        <is>
          <t>using Pythagoras’ theorem to establish the distance between 2 points in the Cartesian plane and applying this using horizontal and vertical distances and coordinates</t>
        </is>
      </c>
    </row>
    <row r="236" ht="23.25" customHeight="1" s="16">
      <c r="A236" s="24" t="inlineStr">
        <is>
          <t>AC9M9A03</t>
        </is>
      </c>
      <c r="B236" s="24" t="n">
        <v>9</v>
      </c>
      <c r="C236" s="24" t="inlineStr">
        <is>
          <t>Algebra</t>
        </is>
      </c>
      <c r="D236" s="24" t="inlineStr">
        <is>
          <t>find the gradient of a line segment, the midpoint of the line interval and the distance between 2 distinct points on the Cartesian plane</t>
        </is>
      </c>
      <c r="E236" s="24" t="n">
        <v>4</v>
      </c>
      <c r="F236" s="24" t="inlineStr">
        <is>
          <t>investigating graphical and algebraic techniques for finding the midpoint and gradient of the line segment between 2 points</t>
        </is>
      </c>
    </row>
    <row r="237" ht="34.5" customHeight="1" s="16">
      <c r="A237" s="24" t="inlineStr">
        <is>
          <t>AC9M9A03</t>
        </is>
      </c>
      <c r="B237" s="24" t="n">
        <v>9</v>
      </c>
      <c r="C237" s="24" t="inlineStr">
        <is>
          <t>Algebra</t>
        </is>
      </c>
      <c r="D237" s="24" t="inlineStr">
        <is>
          <t>find the gradient of a line segment, the midpoint of the line interval and the distance between 2 distinct points on the Cartesian plane</t>
        </is>
      </c>
      <c r="E237" s="24" t="n">
        <v>5</v>
      </c>
      <c r="F237" s="24"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6">
      <c r="A238" s="24" t="inlineStr">
        <is>
          <t>AC9M9A04</t>
        </is>
      </c>
      <c r="B238" s="24" t="n">
        <v>9</v>
      </c>
      <c r="C238" s="24" t="inlineStr">
        <is>
          <t>Algebra</t>
        </is>
      </c>
      <c r="D238" s="24" t="inlineStr">
        <is>
          <t>identify and graph quadratic functions, solve quadratic equations graphically and numerically, and solve monic quadratic equations with integer roots algebraically, using graphing software and digital tools as appropriate</t>
        </is>
      </c>
      <c r="E238" s="24" t="n">
        <v>1</v>
      </c>
      <c r="F238" s="24" t="inlineStr">
        <is>
          <t>recognising that in a table of values, if the second difference between consecutive values of the dependent variable is constant, then it is a quadratic</t>
        </is>
      </c>
    </row>
    <row r="239" ht="34.5" customHeight="1" s="16">
      <c r="A239" s="24" t="inlineStr">
        <is>
          <t>AC9M9A04</t>
        </is>
      </c>
      <c r="B239" s="24" t="n">
        <v>9</v>
      </c>
      <c r="C239" s="24" t="inlineStr">
        <is>
          <t>Algebra</t>
        </is>
      </c>
      <c r="D239" s="24" t="inlineStr">
        <is>
          <t>identify and graph quadratic functions, solve quadratic equations graphically and numerically, and solve monic quadratic equations with integer roots algebraically, using graphing software and digital tools as appropriate</t>
        </is>
      </c>
      <c r="E239" s="24" t="n">
        <v>2</v>
      </c>
      <c r="F239" s="24"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6">
      <c r="A240" s="24" t="inlineStr">
        <is>
          <t>AC9M9A04</t>
        </is>
      </c>
      <c r="B240" s="24" t="n">
        <v>9</v>
      </c>
      <c r="C240" s="24" t="inlineStr">
        <is>
          <t>Algebra</t>
        </is>
      </c>
      <c r="D240" s="24" t="inlineStr">
        <is>
          <t>identify and graph quadratic functions, solve quadratic equations graphically and numerically, and solve monic quadratic equations with integer roots algebraically, using graphing software and digital tools as appropriate</t>
        </is>
      </c>
      <c r="E240" s="24" t="n">
        <v>3</v>
      </c>
      <c r="F240" s="24" t="inlineStr">
        <is>
          <t>solving quadratic equations algebraically and comparing these to graphical solutions</t>
        </is>
      </c>
    </row>
    <row r="241" ht="34.5" customHeight="1" s="16">
      <c r="A241" s="24" t="inlineStr">
        <is>
          <t>AC9M9A04</t>
        </is>
      </c>
      <c r="B241" s="24" t="n">
        <v>9</v>
      </c>
      <c r="C241" s="24" t="inlineStr">
        <is>
          <t>Algebra</t>
        </is>
      </c>
      <c r="D241" s="24" t="inlineStr">
        <is>
          <t>identify and graph quadratic functions, solve quadratic equations graphically and numerically, and solve monic quadratic equations with integer roots algebraically, using graphing software and digital tools as appropriate</t>
        </is>
      </c>
      <c r="E241" s="24" t="n">
        <v>4</v>
      </c>
      <c r="F241" s="24"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6">
      <c r="A242" s="24" t="inlineStr">
        <is>
          <t>AC9M9A04</t>
        </is>
      </c>
      <c r="B242" s="24" t="n">
        <v>9</v>
      </c>
      <c r="C242" s="24" t="inlineStr">
        <is>
          <t>Algebra</t>
        </is>
      </c>
      <c r="D242" s="24" t="inlineStr">
        <is>
          <t>identify and graph quadratic functions, solve quadratic equations graphically and numerically, and solve monic quadratic equations with integer roots algebraically, using graphing software and digital tools as appropriate</t>
        </is>
      </c>
      <c r="E242" s="24" t="n">
        <v>5</v>
      </c>
      <c r="F242" s="24"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6">
      <c r="A243" s="24" t="inlineStr">
        <is>
          <t>AC9M9A04</t>
        </is>
      </c>
      <c r="B243" s="24" t="n">
        <v>9</v>
      </c>
      <c r="C243" s="24" t="inlineStr">
        <is>
          <t>Algebra</t>
        </is>
      </c>
      <c r="D243" s="24" t="inlineStr">
        <is>
          <t>identify and graph quadratic functions, solve quadratic equations graphically and numerically, and solve monic quadratic equations with integer roots algebraically, using graphing software and digital tools as appropriate</t>
        </is>
      </c>
      <c r="E243" s="24" t="n">
        <v>6</v>
      </c>
      <c r="F243" s="24" t="inlineStr">
        <is>
          <t>recognising that the equation x²=a, where a&gt;0, has 2 solutions, x=√(a) and x=-√(a) ; for example, if x²=39 then x=√(39)=6.245 correct to 3 decimal places, or x=-√(39)=-6.245 correct to 3 decimal places, and representing these graphically</t>
        </is>
      </c>
    </row>
    <row r="244" ht="34.5" customHeight="1" s="16">
      <c r="A244" s="24" t="inlineStr">
        <is>
          <t>AC9M9A04</t>
        </is>
      </c>
      <c r="B244" s="24" t="n">
        <v>9</v>
      </c>
      <c r="C244" s="24" t="inlineStr">
        <is>
          <t>Algebra</t>
        </is>
      </c>
      <c r="D244" s="24" t="inlineStr">
        <is>
          <t>identify and graph quadratic functions, solve quadratic equations graphically and numerically, and solve monic quadratic equations with integer roots algebraically, using graphing software and digital tools as appropriate</t>
        </is>
      </c>
      <c r="E244" s="24" t="n">
        <v>7</v>
      </c>
      <c r="F244" s="24" t="inlineStr">
        <is>
          <t>graphing percentages of illumination of moon phases in relation to First Nations Australians’ understandings that describe the different phases of the moon</t>
        </is>
      </c>
    </row>
    <row r="245" ht="34.5" customHeight="1" s="16">
      <c r="A245" s="24" t="inlineStr">
        <is>
          <t>AC9M9A05</t>
        </is>
      </c>
      <c r="B245" s="24" t="n">
        <v>9</v>
      </c>
      <c r="C245" s="24" t="inlineStr">
        <is>
          <t>Algebra</t>
        </is>
      </c>
      <c r="D245"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24" t="n">
        <v>1</v>
      </c>
      <c r="F245" s="24" t="inlineStr">
        <is>
          <t>modelling practical contexts using linear functions such as cooking times that include resting or cooling times, or water leakage from water tanks, using tables and graphs or digital tools and algebraically</t>
        </is>
      </c>
    </row>
    <row r="246" ht="34.5" customHeight="1" s="16">
      <c r="A246" s="24" t="inlineStr">
        <is>
          <t>AC9M9A05</t>
        </is>
      </c>
      <c r="B246" s="24" t="n">
        <v>9</v>
      </c>
      <c r="C246" s="24" t="inlineStr">
        <is>
          <t>Algebra</t>
        </is>
      </c>
      <c r="D246"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24" t="n">
        <v>2</v>
      </c>
      <c r="F246" s="24" t="inlineStr">
        <is>
          <t>modelling measurement situations and determining the perimeter and areas of rectangles where the length, l, of the rectangle is a linear function of its width, w; for example, l=w, l=w+5, l=3w, l=2w+7</t>
        </is>
      </c>
    </row>
    <row r="247" ht="34.5" customHeight="1" s="16">
      <c r="A247" s="24" t="inlineStr">
        <is>
          <t>AC9M9A05</t>
        </is>
      </c>
      <c r="B247" s="24" t="n">
        <v>9</v>
      </c>
      <c r="C247" s="24" t="inlineStr">
        <is>
          <t>Algebra</t>
        </is>
      </c>
      <c r="D247"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24" t="n">
        <v>3</v>
      </c>
      <c r="F247" s="24"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6">
      <c r="A248" s="24" t="inlineStr">
        <is>
          <t>AC9M9A05</t>
        </is>
      </c>
      <c r="B248" s="24" t="n">
        <v>9</v>
      </c>
      <c r="C248" s="24" t="inlineStr">
        <is>
          <t>Algebra</t>
        </is>
      </c>
      <c r="D248"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24" t="n">
        <v>4</v>
      </c>
      <c r="F248" s="24"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6">
      <c r="A249" s="24" t="inlineStr">
        <is>
          <t>AC9M9A05</t>
        </is>
      </c>
      <c r="B249" s="24" t="n">
        <v>9</v>
      </c>
      <c r="C249" s="24" t="inlineStr">
        <is>
          <t>Algebra</t>
        </is>
      </c>
      <c r="D249"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24" t="n">
        <v>5</v>
      </c>
      <c r="F249" s="24"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6">
      <c r="A250" s="24" t="inlineStr">
        <is>
          <t>AC9M9A05</t>
        </is>
      </c>
      <c r="B250" s="24" t="n">
        <v>9</v>
      </c>
      <c r="C250" s="24" t="inlineStr">
        <is>
          <t>Algebra</t>
        </is>
      </c>
      <c r="D250"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24" t="n">
        <v>6</v>
      </c>
      <c r="F250" s="24" t="inlineStr">
        <is>
          <t>modelling the hunting techniques of First Nations Australians using quadratic functions and exploring the effect of increasing the number of hunters to catch more prey</t>
        </is>
      </c>
    </row>
    <row r="251" ht="34.5" customHeight="1" s="16">
      <c r="A251" s="24" t="inlineStr">
        <is>
          <t>AC9M9A06</t>
        </is>
      </c>
      <c r="B251" s="24" t="n">
        <v>9</v>
      </c>
      <c r="C251" s="24" t="inlineStr">
        <is>
          <t>Algebra</t>
        </is>
      </c>
      <c r="D251" s="24" t="inlineStr">
        <is>
          <t>experiment with the effects of the variation of parameters on graphs of related functions, using digital tools, making connections between graphical and algebraic representations, and generalising emerging patterns</t>
        </is>
      </c>
      <c r="E251" s="24" t="n">
        <v>1</v>
      </c>
      <c r="F251" s="24"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6">
      <c r="A252" s="24" t="inlineStr">
        <is>
          <t>AC9M9A06</t>
        </is>
      </c>
      <c r="B252" s="24" t="n">
        <v>9</v>
      </c>
      <c r="C252" s="24" t="inlineStr">
        <is>
          <t>Algebra</t>
        </is>
      </c>
      <c r="D252" s="24" t="inlineStr">
        <is>
          <t>experiment with the effects of the variation of parameters on graphs of related functions, using digital tools, making connections between graphical and algebraic representations, and generalising emerging patterns</t>
        </is>
      </c>
      <c r="E252" s="24" t="n">
        <v>2</v>
      </c>
      <c r="F252" s="24"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6">
      <c r="A253" s="24" t="inlineStr">
        <is>
          <t>AC9M9A06</t>
        </is>
      </c>
      <c r="B253" s="24" t="n">
        <v>9</v>
      </c>
      <c r="C253" s="24" t="inlineStr">
        <is>
          <t>Algebra</t>
        </is>
      </c>
      <c r="D253" s="24" t="inlineStr">
        <is>
          <t>experiment with the effects of the variation of parameters on graphs of related functions, using digital tools, making connections between graphical and algebraic representations, and generalising emerging patterns</t>
        </is>
      </c>
      <c r="E253" s="24" t="n">
        <v>3</v>
      </c>
      <c r="F253" s="24" t="inlineStr">
        <is>
          <t>experimenting with digital tools by applying transformations to the graphs of functions, such as reciprocal y=1/x, square root y=√(x), cube y=x³and exponential functions, y=2ˣ, y=(1/2)ˣ, identifying patterns</t>
        </is>
      </c>
    </row>
    <row r="254" ht="15" customHeight="1" s="16">
      <c r="A254" s="24" t="inlineStr">
        <is>
          <t>AC9M9M01</t>
        </is>
      </c>
      <c r="B254" s="24" t="n">
        <v>9</v>
      </c>
      <c r="C254" s="24" t="inlineStr">
        <is>
          <t>Measurement</t>
        </is>
      </c>
      <c r="D254" s="24" t="inlineStr">
        <is>
          <t>solve problems involving the volume and surface area of right prisms and cylinders using appropriate units</t>
        </is>
      </c>
      <c r="E254" s="24" t="n">
        <v>1</v>
      </c>
      <c r="F254" s="24" t="inlineStr">
        <is>
          <t>analysing nets of objects to generate short cuts and establish formulas for surface area</t>
        </is>
      </c>
    </row>
    <row r="255" ht="23.25" customHeight="1" s="16">
      <c r="A255" s="24" t="inlineStr">
        <is>
          <t>AC9M9M01</t>
        </is>
      </c>
      <c r="B255" s="24" t="n">
        <v>9</v>
      </c>
      <c r="C255" s="24" t="inlineStr">
        <is>
          <t>Measurement</t>
        </is>
      </c>
      <c r="D255" s="24" t="inlineStr">
        <is>
          <t>solve problems involving the volume and surface area of right prisms and cylinders using appropriate units</t>
        </is>
      </c>
      <c r="E255" s="24" t="n">
        <v>2</v>
      </c>
      <c r="F255" s="24" t="inlineStr">
        <is>
          <t>determining the amount of material needed to make can-coolers for a class fundraising project and working out the most cost-efficient way to cut out the pieces</t>
        </is>
      </c>
    </row>
    <row r="256" ht="23.25" customHeight="1" s="16">
      <c r="A256" s="24" t="inlineStr">
        <is>
          <t>AC9M9M01</t>
        </is>
      </c>
      <c r="B256" s="24" t="n">
        <v>9</v>
      </c>
      <c r="C256" s="24" t="inlineStr">
        <is>
          <t>Measurement</t>
        </is>
      </c>
      <c r="D256" s="24" t="inlineStr">
        <is>
          <t>solve problems involving the volume and surface area of right prisms and cylinders using appropriate units</t>
        </is>
      </c>
      <c r="E256" s="24" t="n">
        <v>3</v>
      </c>
      <c r="F256" s="24" t="inlineStr">
        <is>
          <t>finding different prisms that have the same volume but different surface areas, making conjectures as to what type of prism would have the smallest or largest surface area</t>
        </is>
      </c>
    </row>
    <row r="257" ht="23.25" customHeight="1" s="16">
      <c r="A257" s="24" t="inlineStr">
        <is>
          <t>AC9M9M01</t>
        </is>
      </c>
      <c r="B257" s="24" t="n">
        <v>9</v>
      </c>
      <c r="C257" s="24" t="inlineStr">
        <is>
          <t>Measurement</t>
        </is>
      </c>
      <c r="D257" s="24" t="inlineStr">
        <is>
          <t>solve problems involving the volume and surface area of right prisms and cylinders using appropriate units</t>
        </is>
      </c>
      <c r="E257" s="24" t="n">
        <v>4</v>
      </c>
      <c r="F257" s="24" t="inlineStr">
        <is>
          <t>investigating objects and technologies of First Nations Australians, analysing and connecting surface area and volume, and exploring their relationship to their capacity</t>
        </is>
      </c>
    </row>
    <row r="258" ht="34.5" customHeight="1" s="16">
      <c r="A258" s="24" t="inlineStr">
        <is>
          <t>AC9M9M02</t>
        </is>
      </c>
      <c r="B258" s="24" t="n">
        <v>9</v>
      </c>
      <c r="C258" s="24" t="inlineStr">
        <is>
          <t>Measurement</t>
        </is>
      </c>
      <c r="D258" s="24" t="inlineStr">
        <is>
          <t>solve problems involving very small and very large measurements, time scales and intervals expressed in scientific notation</t>
        </is>
      </c>
      <c r="E258" s="24" t="n">
        <v>1</v>
      </c>
      <c r="F258" s="24"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6">
      <c r="A259" s="24" t="inlineStr">
        <is>
          <t>AC9M9M02</t>
        </is>
      </c>
      <c r="B259" s="24" t="n">
        <v>9</v>
      </c>
      <c r="C259" s="24" t="inlineStr">
        <is>
          <t>Measurement</t>
        </is>
      </c>
      <c r="D259" s="24" t="inlineStr">
        <is>
          <t>solve problems involving very small and very large measurements, time scales and intervals expressed in scientific notation</t>
        </is>
      </c>
      <c r="E259" s="24" t="n">
        <v>2</v>
      </c>
      <c r="F259" s="24"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6">
      <c r="A260" s="24" t="inlineStr">
        <is>
          <t>AC9M9M02</t>
        </is>
      </c>
      <c r="B260" s="24" t="n">
        <v>9</v>
      </c>
      <c r="C260" s="24" t="inlineStr">
        <is>
          <t>Measurement</t>
        </is>
      </c>
      <c r="D260" s="24" t="inlineStr">
        <is>
          <t>solve problems involving very small and very large measurements, time scales and intervals expressed in scientific notation</t>
        </is>
      </c>
      <c r="E260" s="24" t="n">
        <v>3</v>
      </c>
      <c r="F260" s="24"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6">
      <c r="A261" s="24" t="inlineStr">
        <is>
          <t>AC9M9M03</t>
        </is>
      </c>
      <c r="B261" s="24" t="n">
        <v>9</v>
      </c>
      <c r="C261" s="24" t="inlineStr">
        <is>
          <t>Measurement</t>
        </is>
      </c>
      <c r="D261" s="24" t="inlineStr">
        <is>
          <t>solve spatial problems, applying angle properties, scale, similarity, Pythagoras’ theorem and trigonometry in right-angled triangles</t>
        </is>
      </c>
      <c r="E261" s="24" t="n">
        <v>1</v>
      </c>
      <c r="F261" s="24" t="inlineStr">
        <is>
          <t>investigating the applications of Pythagoras' theorem in authentic problems, including applying Pythagoras' theorem and trigonometry to problems in surveying and design</t>
        </is>
      </c>
    </row>
    <row r="262" ht="23.25" customHeight="1" s="16">
      <c r="A262" s="24" t="inlineStr">
        <is>
          <t>AC9M9M03</t>
        </is>
      </c>
      <c r="B262" s="24" t="n">
        <v>9</v>
      </c>
      <c r="C262" s="24" t="inlineStr">
        <is>
          <t>Measurement</t>
        </is>
      </c>
      <c r="D262" s="24" t="inlineStr">
        <is>
          <t>solve spatial problems, applying angle properties, scale, similarity, Pythagoras’ theorem and trigonometry in right-angled triangles</t>
        </is>
      </c>
      <c r="E262" s="24" t="n">
        <v>2</v>
      </c>
      <c r="F262" s="24" t="inlineStr">
        <is>
          <t>applying the formula for calculation of distances between points on the Cartesian plane from their coordinates, emphasising the connection to vertical and horizontal displacements between the points</t>
        </is>
      </c>
    </row>
    <row r="263" ht="23.25" customHeight="1" s="16">
      <c r="A263" s="24" t="inlineStr">
        <is>
          <t>AC9M9M03</t>
        </is>
      </c>
      <c r="B263" s="24" t="n">
        <v>9</v>
      </c>
      <c r="C263" s="24" t="inlineStr">
        <is>
          <t>Measurement</t>
        </is>
      </c>
      <c r="D263" s="24" t="inlineStr">
        <is>
          <t>solve spatial problems, applying angle properties, scale, similarity, Pythagoras’ theorem and trigonometry in right-angled triangles</t>
        </is>
      </c>
      <c r="E263" s="24" t="n">
        <v>3</v>
      </c>
      <c r="F263" s="24" t="inlineStr">
        <is>
          <t>understanding the relationship between the corresponding sides of similar right-angled triangles and establishing the relationship between areas of similar figures and the ratio of corresponding sides, the scale factor</t>
        </is>
      </c>
    </row>
    <row r="264" ht="34.5" customHeight="1" s="16">
      <c r="A264" s="24" t="inlineStr">
        <is>
          <t>AC9M9M03</t>
        </is>
      </c>
      <c r="B264" s="24" t="n">
        <v>9</v>
      </c>
      <c r="C264" s="24" t="inlineStr">
        <is>
          <t>Measurement</t>
        </is>
      </c>
      <c r="D264" s="24" t="inlineStr">
        <is>
          <t>solve spatial problems, applying angle properties, scale, similarity, Pythagoras’ theorem and trigonometry in right-angled triangles</t>
        </is>
      </c>
      <c r="E264" s="24" t="n">
        <v>4</v>
      </c>
      <c r="F264" s="24"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6">
      <c r="A265" s="24" t="inlineStr">
        <is>
          <t>AC9M9M03</t>
        </is>
      </c>
      <c r="B265" s="24" t="n">
        <v>9</v>
      </c>
      <c r="C265" s="24" t="inlineStr">
        <is>
          <t>Measurement</t>
        </is>
      </c>
      <c r="D265" s="24" t="inlineStr">
        <is>
          <t>solve spatial problems, applying angle properties, scale, similarity, Pythagoras’ theorem and trigonometry in right-angled triangles</t>
        </is>
      </c>
      <c r="E265" s="24" t="n">
        <v>5</v>
      </c>
      <c r="F265" s="24"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6">
      <c r="A266" s="24" t="inlineStr">
        <is>
          <t>AC9M9M03</t>
        </is>
      </c>
      <c r="B266" s="24" t="n">
        <v>9</v>
      </c>
      <c r="C266" s="24" t="inlineStr">
        <is>
          <t>Measurement</t>
        </is>
      </c>
      <c r="D266" s="24" t="inlineStr">
        <is>
          <t>solve spatial problems, applying angle properties, scale, similarity, Pythagoras’ theorem and trigonometry in right-angled triangles</t>
        </is>
      </c>
      <c r="E266" s="24" t="n">
        <v>6</v>
      </c>
      <c r="F266" s="24"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6">
      <c r="A267" s="24" t="inlineStr">
        <is>
          <t>AC9M9M04</t>
        </is>
      </c>
      <c r="B267" s="24" t="n">
        <v>9</v>
      </c>
      <c r="C267" s="24" t="inlineStr">
        <is>
          <t>Measurement</t>
        </is>
      </c>
      <c r="D267" s="24" t="inlineStr">
        <is>
          <t>calculate and interpret absolute, relative and percentage errors in measurements, recognising that all measurements are estimates</t>
        </is>
      </c>
      <c r="E267" s="24" t="n">
        <v>1</v>
      </c>
      <c r="F267" s="24"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6">
      <c r="A268" s="24" t="inlineStr">
        <is>
          <t>AC9M9M04</t>
        </is>
      </c>
      <c r="B268" s="24" t="n">
        <v>9</v>
      </c>
      <c r="C268" s="24" t="inlineStr">
        <is>
          <t>Measurement</t>
        </is>
      </c>
      <c r="D268" s="24" t="inlineStr">
        <is>
          <t>calculate and interpret absolute, relative and percentage errors in measurements, recognising that all measurements are estimates</t>
        </is>
      </c>
      <c r="E268" s="24" t="n">
        <v>2</v>
      </c>
      <c r="F268" s="24" t="inlineStr">
        <is>
          <t>using absolute value in a percentage error formula; considering when they would use the absolute value and when they would not, depending upon the context</t>
        </is>
      </c>
    </row>
    <row r="269" ht="23.25" customHeight="1" s="16">
      <c r="A269" s="24" t="inlineStr">
        <is>
          <t>AC9M9M04</t>
        </is>
      </c>
      <c r="B269" s="24" t="n">
        <v>9</v>
      </c>
      <c r="C269" s="24" t="inlineStr">
        <is>
          <t>Measurement</t>
        </is>
      </c>
      <c r="D269" s="24" t="inlineStr">
        <is>
          <t>calculate and interpret absolute, relative and percentage errors in measurements, recognising that all measurements are estimates</t>
        </is>
      </c>
      <c r="E269" s="24" t="n">
        <v>3</v>
      </c>
      <c r="F269" s="24" t="inlineStr">
        <is>
          <t>calculating the percentage errors in expected budgets to actual expenditure</t>
        </is>
      </c>
    </row>
    <row r="270" ht="23.25" customHeight="1" s="16">
      <c r="A270" s="24" t="inlineStr">
        <is>
          <t>AC9M9M04</t>
        </is>
      </c>
      <c r="B270" s="24" t="n">
        <v>9</v>
      </c>
      <c r="C270" s="24" t="inlineStr">
        <is>
          <t>Measurement</t>
        </is>
      </c>
      <c r="D270" s="24" t="inlineStr">
        <is>
          <t>calculate and interpret absolute, relative and percentage errors in measurements, recognising that all measurements are estimates</t>
        </is>
      </c>
      <c r="E270" s="24" t="n">
        <v>4</v>
      </c>
      <c r="F270" s="24" t="inlineStr">
        <is>
          <t>estimating the accuracy of measurements in practical contexts and giving suitable lower and upper bounds for measurement values</t>
        </is>
      </c>
    </row>
    <row r="271" ht="34.5" customHeight="1" s="16">
      <c r="A271" s="24" t="inlineStr">
        <is>
          <t>AC9M9M05</t>
        </is>
      </c>
      <c r="B271" s="24" t="n">
        <v>9</v>
      </c>
      <c r="C271" s="24" t="inlineStr">
        <is>
          <t>Measurement</t>
        </is>
      </c>
      <c r="D271"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24" t="n">
        <v>1</v>
      </c>
      <c r="F271" s="24"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6">
      <c r="A272" s="24" t="inlineStr">
        <is>
          <t>AC9M9M05</t>
        </is>
      </c>
      <c r="B272" s="24" t="n">
        <v>9</v>
      </c>
      <c r="C272" s="24" t="inlineStr">
        <is>
          <t>Measurement</t>
        </is>
      </c>
      <c r="D272"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24" t="n">
        <v>2</v>
      </c>
      <c r="F272" s="24" t="inlineStr">
        <is>
          <t>modelling situations that impact on image editing used in social media and how proportion may not be maintained and can result in distorted images</t>
        </is>
      </c>
    </row>
    <row r="273" ht="34.5" customHeight="1" s="16">
      <c r="A273" s="24" t="inlineStr">
        <is>
          <t>AC9M9M05</t>
        </is>
      </c>
      <c r="B273" s="24" t="n">
        <v>9</v>
      </c>
      <c r="C273" s="24" t="inlineStr">
        <is>
          <t>Measurement</t>
        </is>
      </c>
      <c r="D273"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24" t="n">
        <v>3</v>
      </c>
      <c r="F273" s="24" t="inlineStr">
        <is>
          <t>modelling situations involving compliance with building and construction standards in design and construction, such as the rise and tread of staircases, and vertical and horizontal components of escalators</t>
        </is>
      </c>
    </row>
    <row r="274" ht="34.5" customHeight="1" s="16">
      <c r="A274" s="24" t="inlineStr">
        <is>
          <t>AC9M9M05</t>
        </is>
      </c>
      <c r="B274" s="24" t="n">
        <v>9</v>
      </c>
      <c r="C274" s="24" t="inlineStr">
        <is>
          <t>Measurement</t>
        </is>
      </c>
      <c r="D274"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24" t="n">
        <v>4</v>
      </c>
      <c r="F274" s="24" t="inlineStr">
        <is>
          <t>modelling situations involving the application of rates in practical contexts; for example, density, birth, flow or heartbeats</t>
        </is>
      </c>
    </row>
    <row r="275" ht="34.5" customHeight="1" s="16">
      <c r="A275" s="24" t="inlineStr">
        <is>
          <t>AC9M9M05</t>
        </is>
      </c>
      <c r="B275" s="24" t="n">
        <v>9</v>
      </c>
      <c r="C275" s="24" t="inlineStr">
        <is>
          <t>Measurement</t>
        </is>
      </c>
      <c r="D275"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24" t="n">
        <v>5</v>
      </c>
      <c r="F275" s="24"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6">
      <c r="A276" s="24" t="inlineStr">
        <is>
          <t>AC9M9SP01</t>
        </is>
      </c>
      <c r="B276" s="24" t="n">
        <v>9</v>
      </c>
      <c r="C276" s="24" t="inlineStr">
        <is>
          <t>Space</t>
        </is>
      </c>
      <c r="D276" s="24" t="inlineStr">
        <is>
          <t>recognise the constancy of the sine, cosine and tangent ratios for a given angle in right-angled triangles using properties of similarity</t>
        </is>
      </c>
      <c r="E276" s="24" t="n">
        <v>1</v>
      </c>
      <c r="F276" s="24" t="inlineStr">
        <is>
          <t>understanding the terms “base”, “altitude”, “hypotenuse”, and “adjacent” and “opposite” sides to an angle, in a right-angled triangle, and identifying these for a given right-angled triangle</t>
        </is>
      </c>
    </row>
    <row r="277" ht="23.25" customHeight="1" s="16">
      <c r="A277" s="24" t="inlineStr">
        <is>
          <t>AC9M9SP01</t>
        </is>
      </c>
      <c r="B277" s="24" t="n">
        <v>9</v>
      </c>
      <c r="C277" s="24" t="inlineStr">
        <is>
          <t>Space</t>
        </is>
      </c>
      <c r="D277" s="24" t="inlineStr">
        <is>
          <t>recognise the constancy of the sine, cosine and tangent ratios for a given angle in right-angled triangles using properties of similarity</t>
        </is>
      </c>
      <c r="E277" s="24" t="n">
        <v>2</v>
      </c>
      <c r="F277" s="24" t="inlineStr">
        <is>
          <t>investigating patterns to reason about nested similar triangles that are aligned on a coordinate plane, connecting ideas of parallel sides and identifying the constancy of ratios of corresponding sides for a given angle</t>
        </is>
      </c>
    </row>
    <row r="278" ht="34.5" customHeight="1" s="16">
      <c r="A278" s="24" t="inlineStr">
        <is>
          <t>AC9M9SP01</t>
        </is>
      </c>
      <c r="B278" s="24" t="n">
        <v>9</v>
      </c>
      <c r="C278" s="24" t="inlineStr">
        <is>
          <t>Space</t>
        </is>
      </c>
      <c r="D278" s="24" t="inlineStr">
        <is>
          <t>recognise the constancy of the sine, cosine and tangent ratios for a given angle in right-angled triangles using properties of similarity</t>
        </is>
      </c>
      <c r="E278" s="24" t="n">
        <v>3</v>
      </c>
      <c r="F278" s="24"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6">
      <c r="A279" s="24" t="inlineStr">
        <is>
          <t>AC9M9SP01</t>
        </is>
      </c>
      <c r="B279" s="24" t="n">
        <v>9</v>
      </c>
      <c r="C279" s="24" t="inlineStr">
        <is>
          <t>Space</t>
        </is>
      </c>
      <c r="D279" s="24" t="inlineStr">
        <is>
          <t>recognise the constancy of the sine, cosine and tangent ratios for a given angle in right-angled triangles using properties of similarity</t>
        </is>
      </c>
      <c r="E279" s="24" t="n">
        <v>4</v>
      </c>
      <c r="F279" s="24"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6">
      <c r="A280" s="24" t="inlineStr">
        <is>
          <t>AC9M9SP02</t>
        </is>
      </c>
      <c r="B280" s="24" t="n">
        <v>9</v>
      </c>
      <c r="C280" s="24" t="inlineStr">
        <is>
          <t>Space</t>
        </is>
      </c>
      <c r="D280" s="24" t="inlineStr">
        <is>
          <t>apply the enlargement transformation to shapes and objects using dynamic geometry software as appropriate; identify and explain aspects that remain the same and those that change</t>
        </is>
      </c>
      <c r="E280" s="24" t="n">
        <v>1</v>
      </c>
      <c r="F280" s="24" t="inlineStr">
        <is>
          <t>comparing the ratio of lengths of corresponding sides of similar triangles and angles</t>
        </is>
      </c>
    </row>
    <row r="281" ht="23.25" customHeight="1" s="16">
      <c r="A281" s="24" t="inlineStr">
        <is>
          <t>AC9M9SP02</t>
        </is>
      </c>
      <c r="B281" s="24" t="n">
        <v>9</v>
      </c>
      <c r="C281" s="24" t="inlineStr">
        <is>
          <t>Space</t>
        </is>
      </c>
      <c r="D281" s="24" t="inlineStr">
        <is>
          <t>apply the enlargement transformation to shapes and objects using dynamic geometry software as appropriate; identify and explain aspects that remain the same and those that change</t>
        </is>
      </c>
      <c r="E281" s="24" t="n">
        <v>2</v>
      </c>
      <c r="F281" s="24" t="inlineStr">
        <is>
          <t>using the properties of similarity to solve problems involving enlargement</t>
        </is>
      </c>
    </row>
    <row r="282" ht="45.75" customHeight="1" s="16">
      <c r="A282" s="24" t="inlineStr">
        <is>
          <t>AC9M9SP02</t>
        </is>
      </c>
      <c r="B282" s="24" t="n">
        <v>9</v>
      </c>
      <c r="C282" s="24" t="inlineStr">
        <is>
          <t>Space</t>
        </is>
      </c>
      <c r="D282" s="24" t="inlineStr">
        <is>
          <t>apply the enlargement transformation to shapes and objects using dynamic geometry software as appropriate; identify and explain aspects that remain the same and those that change</t>
        </is>
      </c>
      <c r="E282" s="24" t="n">
        <v>3</v>
      </c>
      <c r="F282" s="24"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6">
      <c r="A283" s="24" t="inlineStr">
        <is>
          <t>AC9M9SP03</t>
        </is>
      </c>
      <c r="B283" s="24" t="n">
        <v>9</v>
      </c>
      <c r="C283" s="24" t="inlineStr">
        <is>
          <t>Space</t>
        </is>
      </c>
      <c r="D283" s="24" t="inlineStr">
        <is>
          <t>design, test and refine algorithms involving a sequence of steps and decisions based on geometric constructions and theorems; discuss and evaluate refinements</t>
        </is>
      </c>
      <c r="E283" s="24" t="n">
        <v>1</v>
      </c>
      <c r="F283" s="24" t="inlineStr">
        <is>
          <t>creating an algorithm using pseudocode or flow charts to apply the triangle inequality, or an algorithm to generate Pythagorean triples</t>
        </is>
      </c>
    </row>
    <row r="284" ht="23.25" customHeight="1" s="16">
      <c r="A284" s="24" t="inlineStr">
        <is>
          <t>AC9M9SP03</t>
        </is>
      </c>
      <c r="B284" s="24" t="n">
        <v>9</v>
      </c>
      <c r="C284" s="24" t="inlineStr">
        <is>
          <t>Space</t>
        </is>
      </c>
      <c r="D284" s="24" t="inlineStr">
        <is>
          <t>design, test and refine algorithms involving a sequence of steps and decisions based on geometric constructions and theorems; discuss and evaluate refinements</t>
        </is>
      </c>
      <c r="E284" s="24" t="n">
        <v>2</v>
      </c>
      <c r="F284" s="24" t="inlineStr">
        <is>
          <t>creating and testing algorithms designed to construct or bisect angles, using pseudocode or flow charts</t>
        </is>
      </c>
    </row>
    <row r="285" ht="23.25" customHeight="1" s="16">
      <c r="A285" s="24" t="inlineStr">
        <is>
          <t>AC9M9SP03</t>
        </is>
      </c>
      <c r="B285" s="24" t="n">
        <v>9</v>
      </c>
      <c r="C285" s="24" t="inlineStr">
        <is>
          <t>Space</t>
        </is>
      </c>
      <c r="D285" s="24" t="inlineStr">
        <is>
          <t>design, test and refine algorithms involving a sequence of steps and decisions based on geometric constructions and theorems; discuss and evaluate refinements</t>
        </is>
      </c>
      <c r="E285" s="24" t="n">
        <v>3</v>
      </c>
      <c r="F285" s="24" t="inlineStr">
        <is>
          <t>developing an algorithm for an animation of a geometric construction, or a visual proof, evaluating the algorithm using test cases</t>
        </is>
      </c>
    </row>
    <row r="286" ht="23.25" customHeight="1" s="16">
      <c r="A286" s="24" t="inlineStr">
        <is>
          <t>AC9M9ST01</t>
        </is>
      </c>
      <c r="B286" s="24" t="n">
        <v>9</v>
      </c>
      <c r="C286" s="24" t="inlineStr">
        <is>
          <t>Statistics</t>
        </is>
      </c>
      <c r="D286" s="24" t="inlineStr">
        <is>
          <t>analyse reports of surveys in digital media and elsewhere for information on how data was obtained to estimate population means and medians</t>
        </is>
      </c>
      <c r="E286" s="24" t="n">
        <v>1</v>
      </c>
      <c r="F286" s="24" t="inlineStr">
        <is>
          <t>investigating and evaluating statistical reports in the media and other places by linking claims to displays, statistics and representative data</t>
        </is>
      </c>
    </row>
    <row r="287" ht="23.25" customHeight="1" s="16">
      <c r="A287" s="24" t="inlineStr">
        <is>
          <t>AC9M9ST01</t>
        </is>
      </c>
      <c r="B287" s="24" t="n">
        <v>9</v>
      </c>
      <c r="C287" s="24" t="inlineStr">
        <is>
          <t>Statistics</t>
        </is>
      </c>
      <c r="D287" s="24" t="inlineStr">
        <is>
          <t>analyse reports of surveys in digital media and elsewhere for information on how data was obtained to estimate population means and medians</t>
        </is>
      </c>
      <c r="E287" s="24" t="n">
        <v>2</v>
      </c>
      <c r="F287" s="24" t="inlineStr">
        <is>
          <t>investigating the use of statistics in reports regarding the growth of Australia's trade with other countries of the Asia region</t>
        </is>
      </c>
    </row>
    <row r="288" ht="23.25" customHeight="1" s="16">
      <c r="A288" s="24" t="inlineStr">
        <is>
          <t>AC9M9ST01</t>
        </is>
      </c>
      <c r="B288" s="24" t="n">
        <v>9</v>
      </c>
      <c r="C288" s="24" t="inlineStr">
        <is>
          <t>Statistics</t>
        </is>
      </c>
      <c r="D288" s="24" t="inlineStr">
        <is>
          <t>analyse reports of surveys in digital media and elsewhere for information on how data was obtained to estimate population means and medians</t>
        </is>
      </c>
      <c r="E288" s="24" t="n">
        <v>3</v>
      </c>
      <c r="F288" s="24"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6">
      <c r="A289" s="24" t="inlineStr">
        <is>
          <t>AC9M9ST01</t>
        </is>
      </c>
      <c r="B289" s="24" t="n">
        <v>9</v>
      </c>
      <c r="C289" s="24" t="inlineStr">
        <is>
          <t>Statistics</t>
        </is>
      </c>
      <c r="D289" s="24" t="inlineStr">
        <is>
          <t>analyse reports of surveys in digital media and elsewhere for information on how data was obtained to estimate population means and medians</t>
        </is>
      </c>
      <c r="E289" s="24" t="n">
        <v>4</v>
      </c>
      <c r="F289" s="24" t="inlineStr">
        <is>
          <t>analysing reports of public opinion surveys on environmental issues, such as land clearing, wind farms or single use plastics; discussing methods of data collection and the reasonableness of any inferences made</t>
        </is>
      </c>
    </row>
    <row r="290" ht="23.25" customHeight="1" s="16">
      <c r="A290" s="24" t="inlineStr">
        <is>
          <t>AC9M9ST02</t>
        </is>
      </c>
      <c r="B290" s="24" t="n">
        <v>9</v>
      </c>
      <c r="C290" s="24" t="inlineStr">
        <is>
          <t>Statistics</t>
        </is>
      </c>
      <c r="D290" s="24" t="inlineStr">
        <is>
          <t>analyse how different sampling methods can affect the results of surveys and how choice of representation can be used to support a particular point of view</t>
        </is>
      </c>
      <c r="E290" s="24" t="n">
        <v>1</v>
      </c>
      <c r="F290" s="24" t="inlineStr">
        <is>
          <t>investigating and analysing different visualisations of data such as infographics found in the media and commenting on the strengths, weaknesses and possible biases of particular examples</t>
        </is>
      </c>
    </row>
    <row r="291" ht="23.25" customHeight="1" s="16">
      <c r="A291" s="24" t="inlineStr">
        <is>
          <t>AC9M9ST02</t>
        </is>
      </c>
      <c r="B291" s="24" t="n">
        <v>9</v>
      </c>
      <c r="C291" s="24" t="inlineStr">
        <is>
          <t>Statistics</t>
        </is>
      </c>
      <c r="D291" s="24" t="inlineStr">
        <is>
          <t>analyse how different sampling methods can affect the results of surveys and how choice of representation can be used to support a particular point of view</t>
        </is>
      </c>
      <c r="E291" s="24" t="n">
        <v>2</v>
      </c>
      <c r="F291" s="24" t="inlineStr">
        <is>
          <t>discussing the impact of decreased landline usage or an increased aversion to answering calls from unknown numbers on survey data</t>
        </is>
      </c>
    </row>
    <row r="292" ht="23.25" customHeight="1" s="16">
      <c r="A292" s="24" t="inlineStr">
        <is>
          <t>AC9M9ST02</t>
        </is>
      </c>
      <c r="B292" s="24" t="n">
        <v>9</v>
      </c>
      <c r="C292" s="24" t="inlineStr">
        <is>
          <t>Statistics</t>
        </is>
      </c>
      <c r="D292" s="24" t="inlineStr">
        <is>
          <t>analyse how different sampling methods can affect the results of surveys and how choice of representation can be used to support a particular point of view</t>
        </is>
      </c>
      <c r="E292" s="24" t="n">
        <v>3</v>
      </c>
      <c r="F292" s="24" t="inlineStr">
        <is>
          <t>exploring potential cultural bias relating to First Nations Australians by critically analysing sampling techniques in statistical reports</t>
        </is>
      </c>
    </row>
    <row r="293" ht="34.5" customHeight="1" s="16">
      <c r="A293" s="24" t="inlineStr">
        <is>
          <t>AC9M9ST03</t>
        </is>
      </c>
      <c r="B293" s="24" t="n">
        <v>9</v>
      </c>
      <c r="C293" s="24" t="inlineStr">
        <is>
          <t>Statistics</t>
        </is>
      </c>
      <c r="D293" s="24" t="inlineStr">
        <is>
          <t>represent the distribution of multiple data sets for numerical variables using comparative representations; compare data distributions with consideration of centre, spread and shape, and the effect of outliers on these measures</t>
        </is>
      </c>
      <c r="E293" s="24" t="n">
        <v>1</v>
      </c>
      <c r="F293" s="24" t="inlineStr">
        <is>
          <t>describing the shape of the distribution of data using terms such as “positive skew”, “negative skew” and “symmetric” and “bi-modal”</t>
        </is>
      </c>
    </row>
    <row r="294" ht="34.5" customHeight="1" s="16">
      <c r="A294" s="24" t="inlineStr">
        <is>
          <t>AC9M9ST03</t>
        </is>
      </c>
      <c r="B294" s="24" t="n">
        <v>9</v>
      </c>
      <c r="C294" s="24" t="inlineStr">
        <is>
          <t>Statistics</t>
        </is>
      </c>
      <c r="D294" s="24" t="inlineStr">
        <is>
          <t>represent the distribution of multiple data sets for numerical variables using comparative representations; compare data distributions with consideration of centre, spread and shape, and the effect of outliers on these measures</t>
        </is>
      </c>
      <c r="E294" s="24" t="n">
        <v>2</v>
      </c>
      <c r="F294" s="24" t="inlineStr">
        <is>
          <t>using stem-and-leaf plots to compare 2 like sets of data such as the heights of girls and the heights of boys in a class</t>
        </is>
      </c>
    </row>
    <row r="295" ht="34.5" customHeight="1" s="16">
      <c r="A295" s="24" t="inlineStr">
        <is>
          <t>AC9M9ST03</t>
        </is>
      </c>
      <c r="B295" s="24" t="n">
        <v>9</v>
      </c>
      <c r="C295" s="24" t="inlineStr">
        <is>
          <t>Statistics</t>
        </is>
      </c>
      <c r="D295" s="24" t="inlineStr">
        <is>
          <t>represent the distribution of multiple data sets for numerical variables using comparative representations; compare data distributions with consideration of centre, spread and shape, and the effect of outliers on these measures</t>
        </is>
      </c>
      <c r="E295" s="24" t="n">
        <v>3</v>
      </c>
      <c r="F295" s="24" t="inlineStr">
        <is>
          <t>constructing grouped histograms that show trends in health issues such as lung cancer, leukemia, stroke and diabetes, and using the graph to justify, verify or invalidate claims</t>
        </is>
      </c>
    </row>
    <row r="296" ht="34.5" customHeight="1" s="16">
      <c r="A296" s="24" t="inlineStr">
        <is>
          <t>AC9M9ST03</t>
        </is>
      </c>
      <c r="B296" s="24" t="n">
        <v>9</v>
      </c>
      <c r="C296" s="24" t="inlineStr">
        <is>
          <t>Statistics</t>
        </is>
      </c>
      <c r="D296" s="24" t="inlineStr">
        <is>
          <t>represent the distribution of multiple data sets for numerical variables using comparative representations; compare data distributions with consideration of centre, spread and shape, and the effect of outliers on these measures</t>
        </is>
      </c>
      <c r="E296" s="24" t="n">
        <v>4</v>
      </c>
      <c r="F296" s="24"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6">
      <c r="A297" s="24" t="inlineStr">
        <is>
          <t>AC9M9ST04</t>
        </is>
      </c>
      <c r="B297" s="24" t="n">
        <v>9</v>
      </c>
      <c r="C297" s="24" t="inlineStr">
        <is>
          <t>Statistics</t>
        </is>
      </c>
      <c r="D297" s="24" t="inlineStr">
        <is>
          <t>choose appropriate forms of display or visualisation for a given type of data; justify selections and interpret displays for a given context</t>
        </is>
      </c>
      <c r="E297" s="24" t="n">
        <v>1</v>
      </c>
      <c r="F297" s="24" t="inlineStr">
        <is>
          <t>comparing data displays using mean, median and range to describe and interpret numerical data sets in terms of centre and spread using histograms, dot plots, or stem-and-leaf plots</t>
        </is>
      </c>
    </row>
    <row r="298" ht="23.25" customHeight="1" s="16">
      <c r="A298" s="24" t="inlineStr">
        <is>
          <t>AC9M9ST04</t>
        </is>
      </c>
      <c r="B298" s="24" t="n">
        <v>9</v>
      </c>
      <c r="C298" s="24" t="inlineStr">
        <is>
          <t>Statistics</t>
        </is>
      </c>
      <c r="D298" s="24" t="inlineStr">
        <is>
          <t>choose appropriate forms of display or visualisation for a given type of data; justify selections and interpret displays for a given context</t>
        </is>
      </c>
      <c r="E298" s="24" t="n">
        <v>2</v>
      </c>
      <c r="F298" s="24" t="inlineStr">
        <is>
          <t>choosing the type of representations based on the data type: categorical (nominal or ordinal) or numerical (discrete or continuous)</t>
        </is>
      </c>
    </row>
    <row r="299" ht="23.25" customHeight="1" s="16">
      <c r="A299" s="24" t="inlineStr">
        <is>
          <t>AC9M9ST04</t>
        </is>
      </c>
      <c r="B299" s="24" t="n">
        <v>9</v>
      </c>
      <c r="C299" s="24" t="inlineStr">
        <is>
          <t>Statistics</t>
        </is>
      </c>
      <c r="D299" s="24" t="inlineStr">
        <is>
          <t>choose appropriate forms of display or visualisation for a given type of data; justify selections and interpret displays for a given context</t>
        </is>
      </c>
      <c r="E299" s="24" t="n">
        <v>3</v>
      </c>
      <c r="F299" s="24"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6">
      <c r="A300" s="24" t="inlineStr">
        <is>
          <t>AC9M9ST04</t>
        </is>
      </c>
      <c r="B300" s="24" t="n">
        <v>9</v>
      </c>
      <c r="C300" s="24" t="inlineStr">
        <is>
          <t>Statistics</t>
        </is>
      </c>
      <c r="D300" s="24" t="inlineStr">
        <is>
          <t>choose appropriate forms of display or visualisation for a given type of data; justify selections and interpret displays for a given context</t>
        </is>
      </c>
      <c r="E300" s="24" t="n">
        <v>4</v>
      </c>
      <c r="F300" s="24"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6">
      <c r="A301" s="24" t="inlineStr">
        <is>
          <t>AC9M9ST05</t>
        </is>
      </c>
      <c r="B301" s="24" t="n">
        <v>9</v>
      </c>
      <c r="C301" s="24" t="inlineStr">
        <is>
          <t>Statistics</t>
        </is>
      </c>
      <c r="D301" s="24" t="inlineStr">
        <is>
          <t>plan and conduct statistical investigations involving the collection and analysis of different kinds of data; report findings and discuss the strength of evidence to support any conclusions</t>
        </is>
      </c>
      <c r="E301" s="24" t="n">
        <v>1</v>
      </c>
      <c r="F301" s="24" t="inlineStr">
        <is>
          <t>planning and conducting an investigation using questions together with analysis of secondary data set collected from online data bases such as the Australian Bureau of Statistics</t>
        </is>
      </c>
    </row>
    <row r="302" ht="23.25" customHeight="1" s="16">
      <c r="A302" s="24" t="inlineStr">
        <is>
          <t>AC9M9ST05</t>
        </is>
      </c>
      <c r="B302" s="24" t="n">
        <v>9</v>
      </c>
      <c r="C302" s="24" t="inlineStr">
        <is>
          <t>Statistics</t>
        </is>
      </c>
      <c r="D302" s="24" t="inlineStr">
        <is>
          <t>plan and conduct statistical investigations involving the collection and analysis of different kinds of data; report findings and discuss the strength of evidence to support any conclusions</t>
        </is>
      </c>
      <c r="E302" s="24" t="n">
        <v>2</v>
      </c>
      <c r="F302" s="24"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6">
      <c r="A303" s="24" t="inlineStr">
        <is>
          <t>AC9M9ST05</t>
        </is>
      </c>
      <c r="B303" s="24" t="n">
        <v>9</v>
      </c>
      <c r="C303" s="24" t="inlineStr">
        <is>
          <t>Statistics</t>
        </is>
      </c>
      <c r="D303" s="24" t="inlineStr">
        <is>
          <t>plan and conduct statistical investigations involving the collection and analysis of different kinds of data; report findings and discuss the strength of evidence to support any conclusions</t>
        </is>
      </c>
      <c r="E303" s="24" t="n">
        <v>3</v>
      </c>
      <c r="F303" s="24"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6">
      <c r="A304" s="24" t="inlineStr">
        <is>
          <t>AC9M9ST05</t>
        </is>
      </c>
      <c r="B304" s="24" t="n">
        <v>9</v>
      </c>
      <c r="C304" s="24" t="inlineStr">
        <is>
          <t>Statistics</t>
        </is>
      </c>
      <c r="D304" s="24" t="inlineStr">
        <is>
          <t>plan and conduct statistical investigations involving the collection and analysis of different kinds of data; report findings and discuss the strength of evidence to support any conclusions</t>
        </is>
      </c>
      <c r="E304" s="24" t="n">
        <v>4</v>
      </c>
      <c r="F304" s="24" t="inlineStr">
        <is>
          <t>posing statistical questions, collecting, representing and interpreting data from different sources in relation to reconciliation, considering the relationships between variables</t>
        </is>
      </c>
    </row>
    <row r="305" ht="23.25" customHeight="1" s="16">
      <c r="A305" s="24" t="inlineStr">
        <is>
          <t>AC9M9P01</t>
        </is>
      </c>
      <c r="B305" s="24" t="n">
        <v>9</v>
      </c>
      <c r="C305" s="24" t="inlineStr">
        <is>
          <t>Probability</t>
        </is>
      </c>
      <c r="D305" s="24" t="inlineStr">
        <is>
          <t>list all outcomes for compound events both with and without replacement, using lists, tree diagrams, tables or arrays; assign probabilities to outcomes</t>
        </is>
      </c>
      <c r="E305" s="24" t="n">
        <v>1</v>
      </c>
      <c r="F305" s="24" t="inlineStr">
        <is>
          <t>discussing two-step chance experiments, such as the game of Heads and tails, describing the different outcomes and their related probabilities</t>
        </is>
      </c>
    </row>
    <row r="306" ht="23.25" customHeight="1" s="16">
      <c r="A306" s="24" t="inlineStr">
        <is>
          <t>AC9M9P01</t>
        </is>
      </c>
      <c r="B306" s="24" t="n">
        <v>9</v>
      </c>
      <c r="C306" s="24" t="inlineStr">
        <is>
          <t>Probability</t>
        </is>
      </c>
      <c r="D306" s="24" t="inlineStr">
        <is>
          <t>list all outcomes for compound events both with and without replacement, using lists, tree diagrams, tables or arrays; assign probabilities to outcomes</t>
        </is>
      </c>
      <c r="E306" s="24" t="n">
        <v>2</v>
      </c>
      <c r="F306" s="24" t="inlineStr">
        <is>
          <t>using systematic methods such as lists or arrays to record outcomes and assign probabilities, such as drawing the names of students from a bag to appoint 2 team leaders</t>
        </is>
      </c>
    </row>
    <row r="307" ht="34.5" customHeight="1" s="16">
      <c r="A307" s="24" t="inlineStr">
        <is>
          <t>AC9M9P01</t>
        </is>
      </c>
      <c r="B307" s="24" t="n">
        <v>9</v>
      </c>
      <c r="C307" s="24" t="inlineStr">
        <is>
          <t>Probability</t>
        </is>
      </c>
      <c r="D307" s="24" t="inlineStr">
        <is>
          <t>list all outcomes for compound events both with and without replacement, using lists, tree diagrams, tables or arrays; assign probabilities to outcomes</t>
        </is>
      </c>
      <c r="E307" s="24" t="n">
        <v>3</v>
      </c>
      <c r="F307" s="24"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6">
      <c r="A308" s="24" t="inlineStr">
        <is>
          <t>AC9M9P01</t>
        </is>
      </c>
      <c r="B308" s="24" t="n">
        <v>9</v>
      </c>
      <c r="C308" s="24" t="inlineStr">
        <is>
          <t>Probability</t>
        </is>
      </c>
      <c r="D308" s="24" t="inlineStr">
        <is>
          <t>list all outcomes for compound events both with and without replacement, using lists, tree diagrams, tables or arrays; assign probabilities to outcomes</t>
        </is>
      </c>
      <c r="E308" s="24" t="n">
        <v>4</v>
      </c>
      <c r="F308" s="24"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6">
      <c r="A309" s="24" t="inlineStr">
        <is>
          <t>AC9M9P02</t>
        </is>
      </c>
      <c r="B309" s="24" t="n">
        <v>9</v>
      </c>
      <c r="C309" s="24" t="inlineStr">
        <is>
          <t>Probability</t>
        </is>
      </c>
      <c r="D309" s="24" t="inlineStr">
        <is>
          <t>calculate relative frequencies from given or collected data to estimate probabilities of events involving “and”, inclusive “or” and exclusive “or”</t>
        </is>
      </c>
      <c r="E309" s="24" t="n">
        <v>1</v>
      </c>
      <c r="F309" s="24" t="inlineStr">
        <is>
          <t>understanding that relative frequencies from large data sets or long-run experiments can provide reliable measures of probability and can be used to make predictions of decisions</t>
        </is>
      </c>
    </row>
    <row r="310" ht="23.25" customHeight="1" s="16">
      <c r="A310" s="24" t="inlineStr">
        <is>
          <t>AC9M9P02</t>
        </is>
      </c>
      <c r="B310" s="24" t="n">
        <v>9</v>
      </c>
      <c r="C310" s="24" t="inlineStr">
        <is>
          <t>Probability</t>
        </is>
      </c>
      <c r="D310" s="24" t="inlineStr">
        <is>
          <t>calculate relative frequencies from given or collected data to estimate probabilities of events involving “and”, inclusive “or” and exclusive “or”</t>
        </is>
      </c>
      <c r="E310" s="24" t="n">
        <v>2</v>
      </c>
      <c r="F310" s="24" t="inlineStr">
        <is>
          <t>using Venn diagrams or two-way tables to estimate frequencies of events involving “and”, “or” questions</t>
        </is>
      </c>
    </row>
    <row r="311" ht="23.25" customHeight="1" s="16">
      <c r="A311" s="24" t="inlineStr">
        <is>
          <t>AC9M9P03</t>
        </is>
      </c>
      <c r="B311" s="24" t="n">
        <v>9</v>
      </c>
      <c r="C311" s="24" t="inlineStr">
        <is>
          <t>Probability</t>
        </is>
      </c>
      <c r="D311" s="24" t="inlineStr">
        <is>
          <t>design and conduct repeated chance experiments and simulations, using digital tools to compare probabilities of simple events to related compound events, and describe results</t>
        </is>
      </c>
      <c r="E311" s="24" t="n">
        <v>1</v>
      </c>
      <c r="F311" s="24" t="inlineStr">
        <is>
          <t>using digital tools to conduct probability simulations that demonstrate the relationship between the probability of compound events and the individual probabilities</t>
        </is>
      </c>
    </row>
    <row r="312" ht="23.25" customHeight="1" s="16">
      <c r="A312" s="24" t="inlineStr">
        <is>
          <t>AC9M9P03</t>
        </is>
      </c>
      <c r="B312" s="24" t="n">
        <v>9</v>
      </c>
      <c r="C312" s="24" t="inlineStr">
        <is>
          <t>Probability</t>
        </is>
      </c>
      <c r="D312" s="24" t="inlineStr">
        <is>
          <t>design and conduct repeated chance experiments and simulations, using digital tools to compare probabilities of simple events to related compound events, and describe results</t>
        </is>
      </c>
      <c r="E312" s="24" t="n">
        <v>2</v>
      </c>
      <c r="F312" s="24" t="inlineStr">
        <is>
          <t>comparing experiments which differ only by being undertaken with replacement or without replacement</t>
        </is>
      </c>
    </row>
    <row r="313" ht="23.25" customHeight="1" s="16">
      <c r="A313" s="24" t="inlineStr">
        <is>
          <t>AC9M9P03</t>
        </is>
      </c>
      <c r="B313" s="24" t="n">
        <v>9</v>
      </c>
      <c r="C313" s="24" t="inlineStr">
        <is>
          <t>Probability</t>
        </is>
      </c>
      <c r="D313" s="24" t="inlineStr">
        <is>
          <t>design and conduct repeated chance experiments and simulations, using digital tools to compare probabilities of simple events to related compound events, and describe results</t>
        </is>
      </c>
      <c r="E313" s="24" t="n">
        <v>3</v>
      </c>
      <c r="F313" s="24" t="inlineStr">
        <is>
          <t>conducting two-step chance experiments using systematic methods to list outcomes of experiments and to list outcomes favourable to an event</t>
        </is>
      </c>
    </row>
    <row r="314" ht="23.25" customHeight="1" s="16">
      <c r="A314" s="24" t="inlineStr">
        <is>
          <t>AC9M9P03</t>
        </is>
      </c>
      <c r="B314" s="24" t="n">
        <v>9</v>
      </c>
      <c r="C314" s="24" t="inlineStr">
        <is>
          <t>Probability</t>
        </is>
      </c>
      <c r="D314" s="24" t="inlineStr">
        <is>
          <t>design and conduct repeated chance experiments and simulations, using digital tools to compare probabilities of simple events to related compound events, and describe results</t>
        </is>
      </c>
      <c r="E314" s="24" t="n">
        <v>4</v>
      </c>
      <c r="F314" s="24" t="inlineStr">
        <is>
          <t>using repeated trials of First Nations Australian children’s instructive games; for example, Gorri from all parts of Australia, to calculate the probabilities of winning and not winning</t>
        </is>
      </c>
    </row>
    <row r="315" ht="23.25" customHeight="1" s="16">
      <c r="A315" s="24" t="inlineStr">
        <is>
          <t>AC9M10N01</t>
        </is>
      </c>
      <c r="B315" s="24" t="n">
        <v>10</v>
      </c>
      <c r="C315" s="24" t="inlineStr">
        <is>
          <t>Number</t>
        </is>
      </c>
      <c r="D315" s="24" t="inlineStr">
        <is>
          <t>recognise the effect of using approximations of real numbers in repeated calculations and compare the results when using exact representations</t>
        </is>
      </c>
      <c r="E315" s="24" t="n">
        <v>1</v>
      </c>
      <c r="F315" s="24" t="inlineStr">
        <is>
          <t>comparing and contrasting the effect of truncation or rounding on the final result of calculations when using approximations of real numbers rather than exact representations</t>
        </is>
      </c>
    </row>
    <row r="316" ht="34.5" customHeight="1" s="16">
      <c r="A316" s="24" t="inlineStr">
        <is>
          <t>AC9M10N01</t>
        </is>
      </c>
      <c r="B316" s="24" t="n">
        <v>10</v>
      </c>
      <c r="C316" s="24" t="inlineStr">
        <is>
          <t>Number</t>
        </is>
      </c>
      <c r="D316" s="24" t="inlineStr">
        <is>
          <t>recognise the effect of using approximations of real numbers in repeated calculations and compare the results when using exact representations</t>
        </is>
      </c>
      <c r="E316" s="24" t="n">
        <v>2</v>
      </c>
      <c r="F316" s="24"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6">
      <c r="A317" s="24" t="inlineStr">
        <is>
          <t>AC9M10A01</t>
        </is>
      </c>
      <c r="B317" s="24" t="n">
        <v>10</v>
      </c>
      <c r="C317" s="24" t="inlineStr">
        <is>
          <t>Algebra</t>
        </is>
      </c>
      <c r="D317" s="24" t="inlineStr">
        <is>
          <t>expand, factorise and simplify expressions and solve equations algebraically, applying exponent laws involving products, quotients and powers of variables, and the distributive property</t>
        </is>
      </c>
      <c r="E317" s="24" t="n">
        <v>1</v>
      </c>
      <c r="F317" s="24" t="inlineStr">
        <is>
          <t>explaining the relationship between factorisation and expansion, including the completed square form for quadratic expressions</t>
        </is>
      </c>
    </row>
    <row r="318" ht="23.25" customHeight="1" s="16">
      <c r="A318" s="24" t="inlineStr">
        <is>
          <t>AC9M10A01</t>
        </is>
      </c>
      <c r="B318" s="24" t="n">
        <v>10</v>
      </c>
      <c r="C318" s="24" t="inlineStr">
        <is>
          <t>Algebra</t>
        </is>
      </c>
      <c r="D318" s="24" t="inlineStr">
        <is>
          <t>expand, factorise and simplify expressions and solve equations algebraically, applying exponent laws involving products, quotients and powers of variables, and the distributive property</t>
        </is>
      </c>
      <c r="E318" s="24" t="n">
        <v>2</v>
      </c>
      <c r="F318" s="24" t="inlineStr">
        <is>
          <t>applying knowledge of exponent laws to algebraic terms and using both positive and negative integral exponents to simplifying algebraic expressions and solve equations algebraically</t>
        </is>
      </c>
    </row>
    <row r="319" ht="23.25" customHeight="1" s="16">
      <c r="A319" s="24" t="inlineStr">
        <is>
          <t>AC9M10A02</t>
        </is>
      </c>
      <c r="B319" s="24" t="n">
        <v>10</v>
      </c>
      <c r="C319" s="24" t="inlineStr">
        <is>
          <t>Algebra</t>
        </is>
      </c>
      <c r="D319" s="24" t="inlineStr">
        <is>
          <t>solve linear inequalities and simultaneous linear equations in 2 variables; interpret solutions graphically and communicate solutions in terms of the situation</t>
        </is>
      </c>
      <c r="E319" s="24" t="n">
        <v>1</v>
      </c>
      <c r="F319" s="24"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6">
      <c r="A320" s="24" t="inlineStr">
        <is>
          <t>AC9M10A02</t>
        </is>
      </c>
      <c r="B320" s="24" t="n">
        <v>10</v>
      </c>
      <c r="C320" s="24" t="inlineStr">
        <is>
          <t>Algebra</t>
        </is>
      </c>
      <c r="D320" s="24" t="inlineStr">
        <is>
          <t>solve linear inequalities and simultaneous linear equations in 2 variables; interpret solutions graphically and communicate solutions in terms of the situation</t>
        </is>
      </c>
      <c r="E320" s="24" t="n">
        <v>2</v>
      </c>
      <c r="F320" s="24" t="inlineStr">
        <is>
          <t>describing the solution of simultaneous equations within the context of the situation</t>
        </is>
      </c>
    </row>
    <row r="321" ht="23.25" customHeight="1" s="16">
      <c r="A321" s="24" t="inlineStr">
        <is>
          <t>AC9M10A02</t>
        </is>
      </c>
      <c r="B321" s="24" t="n">
        <v>10</v>
      </c>
      <c r="C321" s="24" t="inlineStr">
        <is>
          <t>Algebra</t>
        </is>
      </c>
      <c r="D321" s="24" t="inlineStr">
        <is>
          <t>solve linear inequalities and simultaneous linear equations in 2 variables; interpret solutions graphically and communicate solutions in terms of the situation</t>
        </is>
      </c>
      <c r="E321" s="24" t="n">
        <v>3</v>
      </c>
      <c r="F321" s="24" t="inlineStr">
        <is>
          <t>graphing regions corresponding to inequalities in the Cartesian plane; for example, graphing 2x+3y&lt;24 and verifying using a test point such as (0, 0)</t>
        </is>
      </c>
    </row>
    <row r="322" ht="23.25" customHeight="1" s="16">
      <c r="A322" s="24" t="inlineStr">
        <is>
          <t>AC9M10A02</t>
        </is>
      </c>
      <c r="B322" s="24" t="n">
        <v>10</v>
      </c>
      <c r="C322" s="24" t="inlineStr">
        <is>
          <t>Algebra</t>
        </is>
      </c>
      <c r="D322" s="24" t="inlineStr">
        <is>
          <t>solve linear inequalities and simultaneous linear equations in 2 variables; interpret solutions graphically and communicate solutions in terms of the situation</t>
        </is>
      </c>
      <c r="E322" s="24" t="n">
        <v>4</v>
      </c>
      <c r="F322" s="24"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6">
      <c r="A323" s="24" t="inlineStr">
        <is>
          <t>AC9M10A02</t>
        </is>
      </c>
      <c r="B323" s="24" t="n">
        <v>10</v>
      </c>
      <c r="C323" s="24" t="inlineStr">
        <is>
          <t>Algebra</t>
        </is>
      </c>
      <c r="D323" s="24" t="inlineStr">
        <is>
          <t>solve linear inequalities and simultaneous linear equations in 2 variables; interpret solutions graphically and communicate solutions in terms of the situation</t>
        </is>
      </c>
      <c r="E323" s="24" t="n">
        <v>5</v>
      </c>
      <c r="F323" s="24" t="inlineStr">
        <is>
          <t>testing when a circle of a specified radius has a corresponding area greater than a given value, or whether a point satisfies an inequality; for example, whether the point (3, 5) satisfies 2y&lt;x²</t>
        </is>
      </c>
    </row>
    <row r="324" ht="23.25" customHeight="1" s="16">
      <c r="A324" s="24" t="inlineStr">
        <is>
          <t>AC9M10A02</t>
        </is>
      </c>
      <c r="B324" s="24" t="n">
        <v>10</v>
      </c>
      <c r="C324" s="24" t="inlineStr">
        <is>
          <t>Algebra</t>
        </is>
      </c>
      <c r="D324" s="24" t="inlineStr">
        <is>
          <t>solve linear inequalities and simultaneous linear equations in 2 variables; interpret solutions graphically and communicate solutions in terms of the situation</t>
        </is>
      </c>
      <c r="E324" s="24" t="n">
        <v>6</v>
      </c>
      <c r="F324" s="24"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6">
      <c r="A325" s="24" t="inlineStr">
        <is>
          <t>AC9M10A03</t>
        </is>
      </c>
      <c r="B325" s="24" t="n">
        <v>10</v>
      </c>
      <c r="C325" s="24" t="inlineStr">
        <is>
          <t>Algebra</t>
        </is>
      </c>
      <c r="D325" s="24" t="inlineStr">
        <is>
          <t>recognise the connection between algebraic and graphical representations of exponential relations and solve related exponential equations, using digital tools where appropriate</t>
        </is>
      </c>
      <c r="E325" s="24" t="n">
        <v>1</v>
      </c>
      <c r="F325" s="24" t="inlineStr">
        <is>
          <t>recognising that in a table of values, if the ratio between consecutive values of the dependent variable is constant, then it is an exponential relation</t>
        </is>
      </c>
    </row>
    <row r="326" ht="23.25" customHeight="1" s="16">
      <c r="A326" s="24" t="inlineStr">
        <is>
          <t>AC9M10A03</t>
        </is>
      </c>
      <c r="B326" s="24" t="n">
        <v>10</v>
      </c>
      <c r="C326" s="24" t="inlineStr">
        <is>
          <t>Algebra</t>
        </is>
      </c>
      <c r="D326" s="24" t="inlineStr">
        <is>
          <t>recognise the connection between algebraic and graphical representations of exponential relations and solve related exponential equations, using digital tools where appropriate</t>
        </is>
      </c>
      <c r="E326" s="24" t="n">
        <v>2</v>
      </c>
      <c r="F326" s="24" t="inlineStr">
        <is>
          <t>investigating the links between algebraic and graphical representations of exponential functions using graphing software</t>
        </is>
      </c>
    </row>
    <row r="327" ht="23.25" customHeight="1" s="16">
      <c r="A327" s="24" t="inlineStr">
        <is>
          <t>AC9M10A03</t>
        </is>
      </c>
      <c r="B327" s="24" t="n">
        <v>10</v>
      </c>
      <c r="C327" s="24" t="inlineStr">
        <is>
          <t>Algebra</t>
        </is>
      </c>
      <c r="D327" s="24" t="inlineStr">
        <is>
          <t>recognise the connection between algebraic and graphical representations of exponential relations and solve related exponential equations, using digital tools where appropriate</t>
        </is>
      </c>
      <c r="E327" s="24" t="n">
        <v>3</v>
      </c>
      <c r="F327" s="24" t="inlineStr">
        <is>
          <t>using digital tools with symbolic manipulation functionality to systematically explore exponential relations</t>
        </is>
      </c>
    </row>
    <row r="328" ht="34.5" customHeight="1" s="16">
      <c r="A328" s="24" t="inlineStr">
        <is>
          <t>AC9M10A03</t>
        </is>
      </c>
      <c r="B328" s="24" t="n">
        <v>10</v>
      </c>
      <c r="C328" s="24" t="inlineStr">
        <is>
          <t>Algebra</t>
        </is>
      </c>
      <c r="D328" s="24" t="inlineStr">
        <is>
          <t>recognise the connection between algebraic and graphical representations of exponential relations and solve related exponential equations, using digital tools where appropriate</t>
        </is>
      </c>
      <c r="E328" s="24" t="n">
        <v>4</v>
      </c>
      <c r="F328" s="24"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6">
      <c r="A329" s="24" t="inlineStr">
        <is>
          <t>AC9M10A04</t>
        </is>
      </c>
      <c r="B329" s="24" t="n">
        <v>10</v>
      </c>
      <c r="C329" s="24" t="inlineStr">
        <is>
          <t>Algebra</t>
        </is>
      </c>
      <c r="D329"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24" t="n">
        <v>1</v>
      </c>
      <c r="F329" s="24"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6">
      <c r="A330" s="24" t="inlineStr">
        <is>
          <t>AC9M10A04</t>
        </is>
      </c>
      <c r="B330" s="24" t="n">
        <v>10</v>
      </c>
      <c r="C330" s="24" t="inlineStr">
        <is>
          <t>Algebra</t>
        </is>
      </c>
      <c r="D330"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24" t="n">
        <v>2</v>
      </c>
      <c r="F330" s="24"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6">
      <c r="A331" s="24" t="inlineStr">
        <is>
          <t>AC9M10A04</t>
        </is>
      </c>
      <c r="B331" s="24" t="n">
        <v>10</v>
      </c>
      <c r="C331" s="24" t="inlineStr">
        <is>
          <t>Algebra</t>
        </is>
      </c>
      <c r="D331"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24" t="n">
        <v>3</v>
      </c>
      <c r="F331" s="24" t="inlineStr">
        <is>
          <t>modelling situations that involve working with authentic information, data and interest rates to calculate compound interest and solve related problems</t>
        </is>
      </c>
    </row>
    <row r="332" ht="45.75" customHeight="1" s="16">
      <c r="A332" s="24" t="inlineStr">
        <is>
          <t>AC9M10A04</t>
        </is>
      </c>
      <c r="B332" s="24" t="n">
        <v>10</v>
      </c>
      <c r="C332" s="24" t="inlineStr">
        <is>
          <t>Algebra</t>
        </is>
      </c>
      <c r="D332"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24" t="n">
        <v>4</v>
      </c>
      <c r="F332" s="24" t="inlineStr">
        <is>
          <t>modelling and investigating how exponential equations are used in carbon dating to estimate the age of First Nations Australians’ artefacts or material culture</t>
        </is>
      </c>
    </row>
    <row r="333" ht="45.75" customHeight="1" s="16">
      <c r="A333" s="24" t="inlineStr">
        <is>
          <t>AC9M10A04</t>
        </is>
      </c>
      <c r="B333" s="24" t="n">
        <v>10</v>
      </c>
      <c r="C333" s="24" t="inlineStr">
        <is>
          <t>Algebra</t>
        </is>
      </c>
      <c r="D333"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24" t="n">
        <v>5</v>
      </c>
      <c r="F333" s="24"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6">
      <c r="A334" s="24" t="inlineStr">
        <is>
          <t>AC9M10A05</t>
        </is>
      </c>
      <c r="B334" s="24" t="n">
        <v>10</v>
      </c>
      <c r="C334" s="24" t="inlineStr">
        <is>
          <t>Algebra</t>
        </is>
      </c>
      <c r="D334" s="24" t="inlineStr">
        <is>
          <t>experiment with functions and relations using digital tools, making and testing conjectures and generalising emerging patterns</t>
        </is>
      </c>
      <c r="E334" s="24" t="n">
        <v>1</v>
      </c>
      <c r="F334" s="24" t="inlineStr">
        <is>
          <t>applying the graphing zoom functionality of digital tools and systematically refining intervals to identify approximate location of points of intersection of the graphs of 2 functions, such as x²=2ˣ</t>
        </is>
      </c>
    </row>
    <row r="335" ht="23.25" customHeight="1" s="16">
      <c r="A335" s="24" t="inlineStr">
        <is>
          <t>AC9M10A05</t>
        </is>
      </c>
      <c r="B335" s="24" t="n">
        <v>10</v>
      </c>
      <c r="C335" s="24" t="inlineStr">
        <is>
          <t>Algebra</t>
        </is>
      </c>
      <c r="D335" s="24" t="inlineStr">
        <is>
          <t>experiment with functions and relations using digital tools, making and testing conjectures and generalising emerging patterns</t>
        </is>
      </c>
      <c r="E335" s="24" t="n">
        <v>2</v>
      </c>
      <c r="F335" s="24" t="inlineStr">
        <is>
          <t>applying a bisection algorithm to determine the approximate location of the horizontal axis intercepts of the graph of a quadratic function such as f(x)=2x²-3x-7</t>
        </is>
      </c>
    </row>
    <row r="336" ht="23.25" customHeight="1" s="16">
      <c r="A336" s="24" t="inlineStr">
        <is>
          <t>AC9M10A05</t>
        </is>
      </c>
      <c r="B336" s="24" t="n">
        <v>10</v>
      </c>
      <c r="C336" s="24" t="inlineStr">
        <is>
          <t>Algebra</t>
        </is>
      </c>
      <c r="D336" s="24" t="inlineStr">
        <is>
          <t>experiment with functions and relations using digital tools, making and testing conjectures and generalising emerging patterns</t>
        </is>
      </c>
      <c r="E336" s="24" t="n">
        <v>3</v>
      </c>
      <c r="F336" s="24" t="inlineStr">
        <is>
          <t>applying transformations to the graph of x²+y²=1</t>
        </is>
      </c>
    </row>
    <row r="337" ht="23.25" customHeight="1" s="16">
      <c r="A337" s="24" t="inlineStr">
        <is>
          <t>AC9M10A05</t>
        </is>
      </c>
      <c r="B337" s="24" t="n">
        <v>10</v>
      </c>
      <c r="C337" s="24" t="inlineStr">
        <is>
          <t>Algebra</t>
        </is>
      </c>
      <c r="D337" s="24" t="inlineStr">
        <is>
          <t>experiment with functions and relations using digital tools, making and testing conjectures and generalising emerging patterns</t>
        </is>
      </c>
      <c r="E337" s="24" t="n">
        <v>4</v>
      </c>
      <c r="F337" s="24" t="inlineStr">
        <is>
          <t>identifying the coordinates of any points of intersection of the graph of a linear function with the graph of a quadratic function or a circle</t>
        </is>
      </c>
    </row>
    <row r="338" ht="23.25" customHeight="1" s="16">
      <c r="A338" s="24" t="inlineStr">
        <is>
          <t>AC9M10A05</t>
        </is>
      </c>
      <c r="B338" s="24" t="n">
        <v>10</v>
      </c>
      <c r="C338" s="24" t="inlineStr">
        <is>
          <t>Algebra</t>
        </is>
      </c>
      <c r="D338" s="24" t="inlineStr">
        <is>
          <t>experiment with functions and relations using digital tools, making and testing conjectures and generalising emerging patterns</t>
        </is>
      </c>
      <c r="E338" s="24" t="n">
        <v>5</v>
      </c>
      <c r="F338" s="24" t="inlineStr">
        <is>
          <t>identifying intervals on the real number line over which a given quadratic function is positive or negative</t>
        </is>
      </c>
    </row>
    <row r="339" ht="23.25" customHeight="1" s="16">
      <c r="A339" s="24" t="inlineStr">
        <is>
          <t>AC9M10A05</t>
        </is>
      </c>
      <c r="B339" s="24" t="n">
        <v>10</v>
      </c>
      <c r="C339" s="24" t="inlineStr">
        <is>
          <t>Algebra</t>
        </is>
      </c>
      <c r="D339" s="24" t="inlineStr">
        <is>
          <t>experiment with functions and relations using digital tools, making and testing conjectures and generalising emerging patterns</t>
        </is>
      </c>
      <c r="E339" s="24" t="n">
        <v>6</v>
      </c>
      <c r="F339" s="24" t="inlineStr">
        <is>
          <t>using a table of values to determine when an exponential growth or decay function exceeds or falls below a given value, such as monitoring the trend in value of a share price in a context of exponential growth or decay</t>
        </is>
      </c>
    </row>
    <row r="340" ht="23.25" customHeight="1" s="16">
      <c r="A340" s="24" t="inlineStr">
        <is>
          <t>AC9M10M01</t>
        </is>
      </c>
      <c r="B340" s="24" t="n">
        <v>10</v>
      </c>
      <c r="C340" s="24" t="inlineStr">
        <is>
          <t>Measurement</t>
        </is>
      </c>
      <c r="D340" s="24" t="inlineStr">
        <is>
          <t>solve problems involving the surface area and volume of composite objects using appropriate units</t>
        </is>
      </c>
      <c r="E340" s="24" t="n">
        <v>1</v>
      </c>
      <c r="F340" s="24" t="inlineStr">
        <is>
          <t>determining the volumes and surface areas of composite solids, formed from a range of right prisms and cylinders, by considering the individual solids from which they are constructed</t>
        </is>
      </c>
    </row>
    <row r="341" ht="15" customHeight="1" s="16">
      <c r="A341" s="24" t="inlineStr">
        <is>
          <t>AC9M10M01</t>
        </is>
      </c>
      <c r="B341" s="24" t="n">
        <v>10</v>
      </c>
      <c r="C341" s="24" t="inlineStr">
        <is>
          <t>Measurement</t>
        </is>
      </c>
      <c r="D341" s="24" t="inlineStr">
        <is>
          <t>solve problems involving the surface area and volume of composite objects using appropriate units</t>
        </is>
      </c>
      <c r="E341" s="24" t="n">
        <v>2</v>
      </c>
      <c r="F341" s="24" t="inlineStr">
        <is>
          <t>estimating the surface area and volume of composite objects in practical contexts</t>
        </is>
      </c>
    </row>
    <row r="342" ht="45.75" customHeight="1" s="16">
      <c r="A342" s="24" t="inlineStr">
        <is>
          <t>AC9M10M01</t>
        </is>
      </c>
      <c r="B342" s="24" t="n">
        <v>10</v>
      </c>
      <c r="C342" s="24" t="inlineStr">
        <is>
          <t>Measurement</t>
        </is>
      </c>
      <c r="D342" s="24" t="inlineStr">
        <is>
          <t>solve problems involving the surface area and volume of composite objects using appropriate units</t>
        </is>
      </c>
      <c r="E342" s="24" t="n">
        <v>3</v>
      </c>
      <c r="F342" s="24"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6">
      <c r="A343" s="24" t="inlineStr">
        <is>
          <t>AC9M10M02</t>
        </is>
      </c>
      <c r="B343" s="24" t="n">
        <v>10</v>
      </c>
      <c r="C343" s="24" t="inlineStr">
        <is>
          <t>Measurement</t>
        </is>
      </c>
      <c r="D343" s="24" t="inlineStr">
        <is>
          <t>interpret and use logarithmic scales in applied contexts involving small and large quantities and change</t>
        </is>
      </c>
      <c r="E343" s="24" t="n">
        <v>1</v>
      </c>
      <c r="F343" s="24" t="inlineStr">
        <is>
          <t>understanding that the logarithmic scale is calibrated in terms of order of magnitude; for example, doubling or powers of 10</t>
        </is>
      </c>
    </row>
    <row r="344" ht="34.5" customHeight="1" s="16">
      <c r="A344" s="24" t="inlineStr">
        <is>
          <t>AC9M10M02</t>
        </is>
      </c>
      <c r="B344" s="24" t="n">
        <v>10</v>
      </c>
      <c r="C344" s="24" t="inlineStr">
        <is>
          <t>Measurement</t>
        </is>
      </c>
      <c r="D344" s="24" t="inlineStr">
        <is>
          <t>interpret and use logarithmic scales in applied contexts involving small and large quantities and change</t>
        </is>
      </c>
      <c r="E344" s="24" t="n">
        <v>2</v>
      </c>
      <c r="F344" s="24"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6">
      <c r="A345" s="24" t="inlineStr">
        <is>
          <t>AC9M10M02</t>
        </is>
      </c>
      <c r="B345" s="24" t="n">
        <v>10</v>
      </c>
      <c r="C345" s="24" t="inlineStr">
        <is>
          <t>Measurement</t>
        </is>
      </c>
      <c r="D345" s="24" t="inlineStr">
        <is>
          <t>interpret and use logarithmic scales in applied contexts involving small and large quantities and change</t>
        </is>
      </c>
      <c r="E345" s="24" t="n">
        <v>3</v>
      </c>
      <c r="F345" s="24"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6">
      <c r="A346" s="24" t="inlineStr">
        <is>
          <t>AC9M10M02</t>
        </is>
      </c>
      <c r="B346" s="24" t="n">
        <v>10</v>
      </c>
      <c r="C346" s="24" t="inlineStr">
        <is>
          <t>Measurement</t>
        </is>
      </c>
      <c r="D346" s="24" t="inlineStr">
        <is>
          <t>interpret and use logarithmic scales in applied contexts involving small and large quantities and change</t>
        </is>
      </c>
      <c r="E346" s="24" t="n">
        <v>4</v>
      </c>
      <c r="F346" s="24"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6">
      <c r="A347" s="24" t="inlineStr">
        <is>
          <t>AC9M10M03</t>
        </is>
      </c>
      <c r="B347" s="24" t="n">
        <v>10</v>
      </c>
      <c r="C347" s="24" t="inlineStr">
        <is>
          <t>Measurement</t>
        </is>
      </c>
      <c r="D347" s="24" t="inlineStr">
        <is>
          <t>solve practical problems applying Pythagoras’ theorem and trigonometry of right-angled triangles, including problems involving direction and angles of elevation and depression</t>
        </is>
      </c>
      <c r="E347" s="24" t="n">
        <v>1</v>
      </c>
      <c r="F347" s="24" t="inlineStr">
        <is>
          <t>applying right-angled trigonometry to solve navigation problems involving bearings; for example, determining the bearing and estimating the distance of the final leg of an orienteering course</t>
        </is>
      </c>
    </row>
    <row r="348" ht="34.5" customHeight="1" s="16">
      <c r="A348" s="24" t="inlineStr">
        <is>
          <t>AC9M10M03</t>
        </is>
      </c>
      <c r="B348" s="24" t="n">
        <v>10</v>
      </c>
      <c r="C348" s="24" t="inlineStr">
        <is>
          <t>Measurement</t>
        </is>
      </c>
      <c r="D348" s="24" t="inlineStr">
        <is>
          <t>solve practical problems applying Pythagoras’ theorem and trigonometry of right-angled triangles, including problems involving direction and angles of elevation and depression</t>
        </is>
      </c>
      <c r="E348" s="24" t="n">
        <v>2</v>
      </c>
      <c r="F348" s="24"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6">
      <c r="A349" s="24" t="inlineStr">
        <is>
          <t>AC9M10M03</t>
        </is>
      </c>
      <c r="B349" s="24" t="n">
        <v>10</v>
      </c>
      <c r="C349" s="24" t="inlineStr">
        <is>
          <t>Measurement</t>
        </is>
      </c>
      <c r="D349" s="24" t="inlineStr">
        <is>
          <t>solve practical problems applying Pythagoras’ theorem and trigonometry of right-angled triangles, including problems involving direction and angles of elevation and depression</t>
        </is>
      </c>
      <c r="E349" s="24" t="n">
        <v>3</v>
      </c>
      <c r="F349" s="24" t="inlineStr">
        <is>
          <t>using a clinometer to measure angles of inclination, and applying trigonometry, and proportional reasoning to determine the height of buildings in practical contexts</t>
        </is>
      </c>
    </row>
    <row r="350" ht="23.25" customHeight="1" s="16">
      <c r="A350" s="24" t="inlineStr">
        <is>
          <t>AC9M10M03</t>
        </is>
      </c>
      <c r="B350" s="24" t="n">
        <v>10</v>
      </c>
      <c r="C350" s="24" t="inlineStr">
        <is>
          <t>Measurement</t>
        </is>
      </c>
      <c r="D350" s="24" t="inlineStr">
        <is>
          <t>solve practical problems applying Pythagoras’ theorem and trigonometry of right-angled triangles, including problems involving direction and angles of elevation and depression</t>
        </is>
      </c>
      <c r="E350" s="24" t="n">
        <v>4</v>
      </c>
      <c r="F350" s="24" t="inlineStr">
        <is>
          <t>applying Pythagoras' theorem and trigonometry, and using dynamic geometric software, to design three-dimensional models of practical situations involving angles of elevation and depression; for example, modelling a crime scene</t>
        </is>
      </c>
    </row>
    <row r="351" ht="23.25" customHeight="1" s="16">
      <c r="A351" s="24" t="inlineStr">
        <is>
          <t>AC9M10M03</t>
        </is>
      </c>
      <c r="B351" s="24" t="n">
        <v>10</v>
      </c>
      <c r="C351" s="24" t="inlineStr">
        <is>
          <t>Measurement</t>
        </is>
      </c>
      <c r="D351" s="24" t="inlineStr">
        <is>
          <t>solve practical problems applying Pythagoras’ theorem and trigonometry of right-angled triangles, including problems involving direction and angles of elevation and depression</t>
        </is>
      </c>
      <c r="E351" s="24" t="n">
        <v>5</v>
      </c>
      <c r="F351" s="24" t="inlineStr">
        <is>
          <t>exploring navigation, design of technologies or surveying by First Nations Australians, investigating geometric and spatial reasoning, and how these connect to trigonometry</t>
        </is>
      </c>
    </row>
    <row r="352" ht="23.25" customHeight="1" s="16">
      <c r="A352" s="24" t="inlineStr">
        <is>
          <t>AC9M10M04</t>
        </is>
      </c>
      <c r="B352" s="24" t="n">
        <v>10</v>
      </c>
      <c r="C352" s="24" t="inlineStr">
        <is>
          <t>Measurement</t>
        </is>
      </c>
      <c r="D352" s="24" t="inlineStr">
        <is>
          <t>identify the impact of measurement errors on the accuracy of results in practical contexts</t>
        </is>
      </c>
      <c r="E352" s="24" t="n">
        <v>1</v>
      </c>
      <c r="F352" s="24" t="inlineStr">
        <is>
          <t>describing settings where measurement errors may impact research results and how measurement data impacted by error can result in biased findings</t>
        </is>
      </c>
    </row>
    <row r="353" ht="15" customHeight="1" s="16">
      <c r="A353" s="24" t="inlineStr">
        <is>
          <t>AC9M10M04</t>
        </is>
      </c>
      <c r="B353" s="24" t="n">
        <v>10</v>
      </c>
      <c r="C353" s="24" t="inlineStr">
        <is>
          <t>Measurement</t>
        </is>
      </c>
      <c r="D353" s="24" t="inlineStr">
        <is>
          <t>identify the impact of measurement errors on the accuracy of results in practical contexts</t>
        </is>
      </c>
      <c r="E353" s="24" t="n">
        <v>2</v>
      </c>
      <c r="F353" s="24" t="inlineStr">
        <is>
          <t>analysing instruments and methods for measuring in investigations and modelling activities</t>
        </is>
      </c>
    </row>
    <row r="354" ht="23.25" customHeight="1" s="16">
      <c r="A354" s="24" t="inlineStr">
        <is>
          <t>AC9M10M04</t>
        </is>
      </c>
      <c r="B354" s="24" t="n">
        <v>10</v>
      </c>
      <c r="C354" s="24" t="inlineStr">
        <is>
          <t>Measurement</t>
        </is>
      </c>
      <c r="D354" s="24" t="inlineStr">
        <is>
          <t>identify the impact of measurement errors on the accuracy of results in practical contexts</t>
        </is>
      </c>
      <c r="E354" s="24" t="n">
        <v>3</v>
      </c>
      <c r="F354" s="24" t="inlineStr">
        <is>
          <t>determining the impact that compounding errors have on financial calculations; for example, considering the effect of truncation on money amounts for large scale customer populations</t>
        </is>
      </c>
    </row>
    <row r="355" ht="23.25" customHeight="1" s="16">
      <c r="A355" s="24" t="inlineStr">
        <is>
          <t>AC9M10M04</t>
        </is>
      </c>
      <c r="B355" s="24" t="n">
        <v>10</v>
      </c>
      <c r="C355" s="24" t="inlineStr">
        <is>
          <t>Measurement</t>
        </is>
      </c>
      <c r="D355" s="24" t="inlineStr">
        <is>
          <t>identify the impact of measurement errors on the accuracy of results in practical contexts</t>
        </is>
      </c>
      <c r="E355" s="24" t="n">
        <v>4</v>
      </c>
      <c r="F355" s="24" t="inlineStr">
        <is>
          <t>investigating scientific measuring techniques, including dating methods and genetic sequencing, applied to First Peoples of Australia and their artefacts, and the social impact of measurement errors</t>
        </is>
      </c>
    </row>
    <row r="356" ht="34.5" customHeight="1" s="16">
      <c r="A356" s="24" t="inlineStr">
        <is>
          <t>AC9M10M05</t>
        </is>
      </c>
      <c r="B356" s="24" t="n">
        <v>10</v>
      </c>
      <c r="C356" s="24" t="inlineStr">
        <is>
          <t>Measurement</t>
        </is>
      </c>
      <c r="D356"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24" t="n">
        <v>1</v>
      </c>
      <c r="F356" s="24" t="inlineStr">
        <is>
          <t>using plans and elevation drawings to investigate making changes to building designs, employing appropriate scales and converting to actual measurements within the context to make decisions about changes</t>
        </is>
      </c>
    </row>
    <row r="357" ht="34.5" customHeight="1" s="16">
      <c r="A357" s="24" t="inlineStr">
        <is>
          <t>AC9M10M05</t>
        </is>
      </c>
      <c r="B357" s="24" t="n">
        <v>10</v>
      </c>
      <c r="C357" s="24" t="inlineStr">
        <is>
          <t>Measurement</t>
        </is>
      </c>
      <c r="D357"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24" t="n">
        <v>2</v>
      </c>
      <c r="F357" s="24" t="inlineStr">
        <is>
          <t>analysing and applying scale and ratios in situations such as production prototypes and 3D printing; for example, using a 3D printer to produce scaled versions of actual objects</t>
        </is>
      </c>
    </row>
    <row r="358" ht="34.5" customHeight="1" s="16">
      <c r="A358" s="24" t="inlineStr">
        <is>
          <t>AC9M10M05</t>
        </is>
      </c>
      <c r="B358" s="24" t="n">
        <v>10</v>
      </c>
      <c r="C358" s="24" t="inlineStr">
        <is>
          <t>Measurement</t>
        </is>
      </c>
      <c r="D358"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24" t="n">
        <v>3</v>
      </c>
      <c r="F358" s="24" t="inlineStr">
        <is>
          <t>estimating the scale of an object, such as a toy car, by measuring a linear dimension and using a typical car dimension to work out the scale factor</t>
        </is>
      </c>
    </row>
    <row r="359" ht="34.5" customHeight="1" s="16">
      <c r="A359" s="24" t="inlineStr">
        <is>
          <t>AC9M10M05</t>
        </is>
      </c>
      <c r="B359" s="24" t="n">
        <v>10</v>
      </c>
      <c r="C359" s="24" t="inlineStr">
        <is>
          <t>Measurement</t>
        </is>
      </c>
      <c r="D359"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24" t="n">
        <v>4</v>
      </c>
      <c r="F359" s="24" t="inlineStr">
        <is>
          <t>investigating compliance with building codes and standards in design and construction, such as for escalators in shopping centres</t>
        </is>
      </c>
    </row>
    <row r="360" ht="23.25" customHeight="1" s="16">
      <c r="A360" s="24" t="inlineStr">
        <is>
          <t>AC9M10SP01</t>
        </is>
      </c>
      <c r="B360" s="24" t="n">
        <v>10</v>
      </c>
      <c r="C360" s="24" t="inlineStr">
        <is>
          <t>Space</t>
        </is>
      </c>
      <c r="D360" s="24" t="inlineStr">
        <is>
          <t>apply deductive reasoning to proofs involving shapes in the plane and use theorems to solve spatial problems</t>
        </is>
      </c>
      <c r="E360" s="24" t="n">
        <v>1</v>
      </c>
      <c r="F360" s="24"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6">
      <c r="A361" s="24" t="inlineStr">
        <is>
          <t>AC9M10SP01</t>
        </is>
      </c>
      <c r="B361" s="24" t="n">
        <v>10</v>
      </c>
      <c r="C361" s="24" t="inlineStr">
        <is>
          <t>Space</t>
        </is>
      </c>
      <c r="D361" s="24" t="inlineStr">
        <is>
          <t>apply deductive reasoning to proofs involving shapes in the plane and use theorems to solve spatial problems</t>
        </is>
      </c>
      <c r="E361" s="24" t="n">
        <v>2</v>
      </c>
      <c r="F361" s="24" t="inlineStr">
        <is>
          <t>developing proofs involving congruent triangles and angle properties, communicating the proof using a sequence of logically connected statements</t>
        </is>
      </c>
    </row>
    <row r="362" ht="23.25" customHeight="1" s="16">
      <c r="A362" s="24" t="inlineStr">
        <is>
          <t>AC9M10SP01</t>
        </is>
      </c>
      <c r="B362" s="24" t="n">
        <v>10</v>
      </c>
      <c r="C362" s="24" t="inlineStr">
        <is>
          <t>Space</t>
        </is>
      </c>
      <c r="D362" s="24" t="inlineStr">
        <is>
          <t>apply deductive reasoning to proofs involving shapes in the plane and use theorems to solve spatial problems</t>
        </is>
      </c>
      <c r="E362" s="24" t="n">
        <v>3</v>
      </c>
      <c r="F362" s="24" t="inlineStr">
        <is>
          <t>applying an understanding of relationships to deduce properties of geometric figures; for example, the base angles of an isosceles triangle are equal</t>
        </is>
      </c>
    </row>
    <row r="363" ht="23.25" customHeight="1" s="16">
      <c r="A363" s="24" t="inlineStr">
        <is>
          <t>AC9M10SP01</t>
        </is>
      </c>
      <c r="B363" s="24" t="n">
        <v>10</v>
      </c>
      <c r="C363" s="24" t="inlineStr">
        <is>
          <t>Space</t>
        </is>
      </c>
      <c r="D363" s="24" t="inlineStr">
        <is>
          <t>apply deductive reasoning to proofs involving shapes in the plane and use theorems to solve spatial problems</t>
        </is>
      </c>
      <c r="E363" s="24" t="n">
        <v>4</v>
      </c>
      <c r="F363" s="24"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6">
      <c r="A364" s="24" t="inlineStr">
        <is>
          <t>AC9M10SP01</t>
        </is>
      </c>
      <c r="B364" s="24" t="n">
        <v>10</v>
      </c>
      <c r="C364" s="24" t="inlineStr">
        <is>
          <t>Space</t>
        </is>
      </c>
      <c r="D364" s="24" t="inlineStr">
        <is>
          <t>apply deductive reasoning to proofs involving shapes in the plane and use theorems to solve spatial problems</t>
        </is>
      </c>
      <c r="E364" s="24" t="n">
        <v>5</v>
      </c>
      <c r="F364" s="24" t="inlineStr">
        <is>
          <t>using dynamic geometric software to investigate the shortest path that touches 3 sides of a rectangle, starting and finishing at the same point and proving that the path forms a parallelogram</t>
        </is>
      </c>
    </row>
    <row r="365" ht="23.25" customHeight="1" s="16">
      <c r="A365" s="24" t="inlineStr">
        <is>
          <t>AC9M10SP02</t>
        </is>
      </c>
      <c r="B365" s="24" t="n">
        <v>10</v>
      </c>
      <c r="C365" s="24" t="inlineStr">
        <is>
          <t>Space</t>
        </is>
      </c>
      <c r="D365" s="24" t="inlineStr">
        <is>
          <t>interpret networks and network diagrams used to represent relationships in practical situations and describe connectedness</t>
        </is>
      </c>
      <c r="E365" s="24" t="n">
        <v>1</v>
      </c>
      <c r="F365" s="24"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6">
      <c r="A366" s="24" t="inlineStr">
        <is>
          <t>AC9M10SP02</t>
        </is>
      </c>
      <c r="B366" s="24" t="n">
        <v>10</v>
      </c>
      <c r="C366" s="24" t="inlineStr">
        <is>
          <t>Space</t>
        </is>
      </c>
      <c r="D366" s="24" t="inlineStr">
        <is>
          <t>interpret networks and network diagrams used to represent relationships in practical situations and describe connectedness</t>
        </is>
      </c>
      <c r="E366" s="24" t="n">
        <v>2</v>
      </c>
      <c r="F366" s="24" t="inlineStr">
        <is>
          <t>investigating the use of graphs to represent a network, analysing connectedness; for example, investigating the “The Seven Bridges of Königsberg” problem</t>
        </is>
      </c>
    </row>
    <row r="367" ht="23.25" customHeight="1" s="16">
      <c r="A367" s="24" t="inlineStr">
        <is>
          <t>AC9M10SP02</t>
        </is>
      </c>
      <c r="B367" s="24" t="n">
        <v>10</v>
      </c>
      <c r="C367" s="24" t="inlineStr">
        <is>
          <t>Space</t>
        </is>
      </c>
      <c r="D367" s="24" t="inlineStr">
        <is>
          <t>interpret networks and network diagrams used to represent relationships in practical situations and describe connectedness</t>
        </is>
      </c>
      <c r="E367" s="24" t="n">
        <v>3</v>
      </c>
      <c r="F367" s="24"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6">
      <c r="A368" s="24" t="inlineStr">
        <is>
          <t>AC9M10SP02</t>
        </is>
      </c>
      <c r="B368" s="24" t="n">
        <v>10</v>
      </c>
      <c r="C368" s="24" t="inlineStr">
        <is>
          <t>Space</t>
        </is>
      </c>
      <c r="D368" s="24" t="inlineStr">
        <is>
          <t>interpret networks and network diagrams used to represent relationships in practical situations and describe connectedness</t>
        </is>
      </c>
      <c r="E368" s="24" t="n">
        <v>4</v>
      </c>
      <c r="F368" s="24"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6">
      <c r="A369" s="24" t="inlineStr">
        <is>
          <t>AC9M10SP02</t>
        </is>
      </c>
      <c r="B369" s="24" t="n">
        <v>10</v>
      </c>
      <c r="C369" s="24" t="inlineStr">
        <is>
          <t>Space</t>
        </is>
      </c>
      <c r="D369" s="24" t="inlineStr">
        <is>
          <t>interpret networks and network diagrams used to represent relationships in practical situations and describe connectedness</t>
        </is>
      </c>
      <c r="E369" s="24" t="n">
        <v>5</v>
      </c>
      <c r="F369" s="24"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6">
      <c r="A370" s="24" t="inlineStr">
        <is>
          <t>AC9M10SP02</t>
        </is>
      </c>
      <c r="B370" s="24" t="n">
        <v>10</v>
      </c>
      <c r="C370" s="24" t="inlineStr">
        <is>
          <t>Space</t>
        </is>
      </c>
      <c r="D370" s="24" t="inlineStr">
        <is>
          <t>interpret networks and network diagrams used to represent relationships in practical situations and describe connectedness</t>
        </is>
      </c>
      <c r="E370" s="24" t="n">
        <v>6</v>
      </c>
      <c r="F370" s="24" t="inlineStr">
        <is>
          <t>representing First Nations Australians’ kinship systems using network diagrams and exploring the significance of relationships to Country/Place</t>
        </is>
      </c>
    </row>
    <row r="371" ht="23.25" customHeight="1" s="16">
      <c r="A371" s="24" t="inlineStr">
        <is>
          <t>AC9M10SP03</t>
        </is>
      </c>
      <c r="B371" s="24" t="n">
        <v>10</v>
      </c>
      <c r="C371" s="24" t="inlineStr">
        <is>
          <t>Space</t>
        </is>
      </c>
      <c r="D371" s="24" t="inlineStr">
        <is>
          <t>design, test and refine solutions to spatial problems using algorithms and digital tools; communicate and justify solutions</t>
        </is>
      </c>
      <c r="E371" s="24" t="n">
        <v>1</v>
      </c>
      <c r="F371" s="24"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6">
      <c r="A372" s="24" t="inlineStr">
        <is>
          <t>AC9M10SP03</t>
        </is>
      </c>
      <c r="B372" s="24" t="n">
        <v>10</v>
      </c>
      <c r="C372" s="24" t="inlineStr">
        <is>
          <t>Space</t>
        </is>
      </c>
      <c r="D372" s="24" t="inlineStr">
        <is>
          <t>design, test and refine solutions to spatial problems using algorithms and digital tools; communicate and justify solutions</t>
        </is>
      </c>
      <c r="E372" s="24" t="n">
        <v>2</v>
      </c>
      <c r="F372" s="24"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6">
      <c r="A373" s="24" t="inlineStr">
        <is>
          <t>AC9M10SP03</t>
        </is>
      </c>
      <c r="B373" s="24" t="n">
        <v>10</v>
      </c>
      <c r="C373" s="24" t="inlineStr">
        <is>
          <t>Space</t>
        </is>
      </c>
      <c r="D373" s="24" t="inlineStr">
        <is>
          <t>design, test and refine solutions to spatial problems using algorithms and digital tools; communicate and justify solutions</t>
        </is>
      </c>
      <c r="E373" s="24" t="n">
        <v>3</v>
      </c>
      <c r="F373" s="24"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6">
      <c r="A374" s="24" t="inlineStr">
        <is>
          <t>AC9M10SP03</t>
        </is>
      </c>
      <c r="B374" s="24" t="n">
        <v>10</v>
      </c>
      <c r="C374" s="24" t="inlineStr">
        <is>
          <t>Space</t>
        </is>
      </c>
      <c r="D374" s="24" t="inlineStr">
        <is>
          <t>design, test and refine solutions to spatial problems using algorithms and digital tools; communicate and justify solutions</t>
        </is>
      </c>
      <c r="E374" s="24" t="n">
        <v>4</v>
      </c>
      <c r="F374" s="24" t="inlineStr">
        <is>
          <t>designing, creating and testing algorithms using pseudocode or flow charts for producing self-similar patterns; validating algorithms using a range of test cases to compare their output</t>
        </is>
      </c>
    </row>
    <row r="375" ht="23.25" customHeight="1" s="16">
      <c r="A375" s="24" t="inlineStr">
        <is>
          <t>AC9M10SP03</t>
        </is>
      </c>
      <c r="B375" s="24" t="n">
        <v>10</v>
      </c>
      <c r="C375" s="24" t="inlineStr">
        <is>
          <t>Space</t>
        </is>
      </c>
      <c r="D375" s="24" t="inlineStr">
        <is>
          <t>design, test and refine solutions to spatial problems using algorithms and digital tools; communicate and justify solutions</t>
        </is>
      </c>
      <c r="E375" s="24" t="n">
        <v>5</v>
      </c>
      <c r="F375" s="24" t="inlineStr">
        <is>
          <t>exploring geospatial technologies used by First Nations Australians’ communities to consider spatial problems including position and transformation</t>
        </is>
      </c>
    </row>
    <row r="376" ht="34.5" customHeight="1" s="16">
      <c r="A376" s="24" t="inlineStr">
        <is>
          <t>AC9M10ST01</t>
        </is>
      </c>
      <c r="B376" s="24" t="n">
        <v>10</v>
      </c>
      <c r="C376" s="24" t="inlineStr">
        <is>
          <t>Statistics</t>
        </is>
      </c>
      <c r="D376" s="24" t="inlineStr">
        <is>
          <t>analyse claims, inferences and conclusions of statistical reports in the media, including ethical considerations and identification of potential sources of bias</t>
        </is>
      </c>
      <c r="E376" s="24" t="n">
        <v>1</v>
      </c>
      <c r="F376" s="24"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6">
      <c r="A377" s="24" t="inlineStr">
        <is>
          <t>AC9M10ST01</t>
        </is>
      </c>
      <c r="B377" s="24" t="n">
        <v>10</v>
      </c>
      <c r="C377" s="24" t="inlineStr">
        <is>
          <t>Statistics</t>
        </is>
      </c>
      <c r="D377" s="24" t="inlineStr">
        <is>
          <t>analyse claims, inferences and conclusions of statistical reports in the media, including ethical considerations and identification of potential sources of bias</t>
        </is>
      </c>
      <c r="E377" s="24" t="n">
        <v>2</v>
      </c>
      <c r="F377" s="24" t="inlineStr">
        <is>
          <t>investigating the source and size of the sample from which the data was collected and deciding whether the sample is appropriately representative of the population</t>
        </is>
      </c>
    </row>
    <row r="378" ht="23.25" customHeight="1" s="16">
      <c r="A378" s="24" t="inlineStr">
        <is>
          <t>AC9M10ST01</t>
        </is>
      </c>
      <c r="B378" s="24" t="n">
        <v>10</v>
      </c>
      <c r="C378" s="24" t="inlineStr">
        <is>
          <t>Statistics</t>
        </is>
      </c>
      <c r="D378" s="24" t="inlineStr">
        <is>
          <t>analyse claims, inferences and conclusions of statistical reports in the media, including ethical considerations and identification of potential sources of bias</t>
        </is>
      </c>
      <c r="E378" s="24" t="n">
        <v>3</v>
      </c>
      <c r="F378" s="24" t="inlineStr">
        <is>
          <t>investigating population rates and discussing potential ethical considerations when presenting statistical data involving infection rates, and the number of cases per head of population</t>
        </is>
      </c>
    </row>
    <row r="379" ht="34.5" customHeight="1" s="16">
      <c r="A379" s="24" t="inlineStr">
        <is>
          <t>AC9M10ST01</t>
        </is>
      </c>
      <c r="B379" s="24" t="n">
        <v>10</v>
      </c>
      <c r="C379" s="24" t="inlineStr">
        <is>
          <t>Statistics</t>
        </is>
      </c>
      <c r="D379" s="24" t="inlineStr">
        <is>
          <t>analyse claims, inferences and conclusions of statistical reports in the media, including ethical considerations and identification of potential sources of bias</t>
        </is>
      </c>
      <c r="E379" s="24" t="n">
        <v>4</v>
      </c>
      <c r="F379" s="24"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6">
      <c r="A380" s="24" t="inlineStr">
        <is>
          <t>AC9M10ST01</t>
        </is>
      </c>
      <c r="B380" s="24" t="n">
        <v>10</v>
      </c>
      <c r="C380" s="24" t="inlineStr">
        <is>
          <t>Statistics</t>
        </is>
      </c>
      <c r="D380" s="24" t="inlineStr">
        <is>
          <t>analyse claims, inferences and conclusions of statistical reports in the media, including ethical considerations and identification of potential sources of bias</t>
        </is>
      </c>
      <c r="E380" s="24" t="n">
        <v>5</v>
      </c>
      <c r="F380" s="24" t="inlineStr">
        <is>
          <t>using the concept of Indigenous data sovereignty to critique and evaluate the Australian Government’s “Closing the Gap” report</t>
        </is>
      </c>
    </row>
    <row r="381" ht="34.5" customHeight="1" s="16">
      <c r="A381" s="24" t="inlineStr">
        <is>
          <t>AC9M10ST02</t>
        </is>
      </c>
      <c r="B381" s="24" t="n">
        <v>10</v>
      </c>
      <c r="C381" s="24" t="inlineStr">
        <is>
          <t>Statistics</t>
        </is>
      </c>
      <c r="D381" s="24" t="inlineStr">
        <is>
          <t>compare data distributions for continuous numerical variables using appropriate data displays including boxplots; discuss the shapes of these distributions in terms of centre, spread, shape and outliers in the context of the data</t>
        </is>
      </c>
      <c r="E381" s="24" t="n">
        <v>1</v>
      </c>
      <c r="F381" s="24"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6">
      <c r="A382" s="24" t="inlineStr">
        <is>
          <t>AC9M10ST02</t>
        </is>
      </c>
      <c r="B382" s="24" t="n">
        <v>10</v>
      </c>
      <c r="C382" s="24" t="inlineStr">
        <is>
          <t>Statistics</t>
        </is>
      </c>
      <c r="D382" s="24" t="inlineStr">
        <is>
          <t>compare data distributions for continuous numerical variables using appropriate data displays including boxplots; discuss the shapes of these distributions in terms of centre, spread, shape and outliers in the context of the data</t>
        </is>
      </c>
      <c r="E382" s="24" t="n">
        <v>2</v>
      </c>
      <c r="F382" s="24" t="inlineStr">
        <is>
          <t>comparing shapes of distributions using box plots, histograms, cumulative frequency graphs and dot plots, discussing symmetry, skew and modality</t>
        </is>
      </c>
    </row>
    <row r="383" ht="34.5" customHeight="1" s="16">
      <c r="A383" s="24" t="inlineStr">
        <is>
          <t>AC9M10ST02</t>
        </is>
      </c>
      <c r="B383" s="24" t="n">
        <v>10</v>
      </c>
      <c r="C383" s="24" t="inlineStr">
        <is>
          <t>Statistics</t>
        </is>
      </c>
      <c r="D383" s="24" t="inlineStr">
        <is>
          <t>compare data distributions for continuous numerical variables using appropriate data displays including boxplots; discuss the shapes of these distributions in terms of centre, spread, shape and outliers in the context of the data</t>
        </is>
      </c>
      <c r="E383" s="24" t="n">
        <v>3</v>
      </c>
      <c r="F383" s="24" t="inlineStr">
        <is>
          <t>using digital tools to compare boxplots and histograms as displays of the same data in the light of the statistical questions being addressed and the effectiveness of the display in helping to answer the question</t>
        </is>
      </c>
    </row>
    <row r="384" ht="34.5" customHeight="1" s="16">
      <c r="A384" s="24" t="inlineStr">
        <is>
          <t>AC9M10ST02</t>
        </is>
      </c>
      <c r="B384" s="24" t="n">
        <v>10</v>
      </c>
      <c r="C384" s="24" t="inlineStr">
        <is>
          <t>Statistics</t>
        </is>
      </c>
      <c r="D384" s="24" t="inlineStr">
        <is>
          <t>compare data distributions for continuous numerical variables using appropriate data displays including boxplots; discuss the shapes of these distributions in terms of centre, spread, shape and outliers in the context of the data</t>
        </is>
      </c>
      <c r="E384" s="24" t="n">
        <v>4</v>
      </c>
      <c r="F384" s="24"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6">
      <c r="A385" s="24" t="inlineStr">
        <is>
          <t>AC9M10ST02</t>
        </is>
      </c>
      <c r="B385" s="24" t="n">
        <v>10</v>
      </c>
      <c r="C385" s="24" t="inlineStr">
        <is>
          <t>Statistics</t>
        </is>
      </c>
      <c r="D385" s="24" t="inlineStr">
        <is>
          <t>compare data distributions for continuous numerical variables using appropriate data displays including boxplots; discuss the shapes of these distributions in terms of centre, spread, shape and outliers in the context of the data</t>
        </is>
      </c>
      <c r="E385" s="24" t="n">
        <v>5</v>
      </c>
      <c r="F385" s="24"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6">
      <c r="A386" s="24" t="inlineStr">
        <is>
          <t>AC9M10ST03</t>
        </is>
      </c>
      <c r="B386" s="24" t="n">
        <v>10</v>
      </c>
      <c r="C386" s="24" t="inlineStr">
        <is>
          <t>Statistics</t>
        </is>
      </c>
      <c r="D386" s="24" t="inlineStr">
        <is>
          <t>construct scatterplots and comment on the association between the 2 numerical variables in terms of strength, direction and linearity</t>
        </is>
      </c>
      <c r="E386" s="24" t="n">
        <v>1</v>
      </c>
      <c r="F386" s="24" t="inlineStr">
        <is>
          <t>discussing the difference between association and cause and effect, and relating this to situations such as health, diversity of species and climate control</t>
        </is>
      </c>
    </row>
    <row r="387" ht="23.25" customHeight="1" s="16">
      <c r="A387" s="24" t="inlineStr">
        <is>
          <t>AC9M10ST03</t>
        </is>
      </c>
      <c r="B387" s="24" t="n">
        <v>10</v>
      </c>
      <c r="C387" s="24" t="inlineStr">
        <is>
          <t>Statistics</t>
        </is>
      </c>
      <c r="D387" s="24" t="inlineStr">
        <is>
          <t>construct scatterplots and comment on the association between the 2 numerical variables in terms of strength, direction and linearity</t>
        </is>
      </c>
      <c r="E387" s="24" t="n">
        <v>2</v>
      </c>
      <c r="F387" s="24" t="inlineStr">
        <is>
          <t>using statistical evidence to make, justify and critique claims about association between variables, such as in contexts of climate change, migration, online shopping and social media</t>
        </is>
      </c>
    </row>
    <row r="388" ht="23.25" customHeight="1" s="16">
      <c r="A388" s="24" t="inlineStr">
        <is>
          <t>AC9M10ST03</t>
        </is>
      </c>
      <c r="B388" s="24" t="n">
        <v>10</v>
      </c>
      <c r="C388" s="24" t="inlineStr">
        <is>
          <t>Statistics</t>
        </is>
      </c>
      <c r="D388" s="24" t="inlineStr">
        <is>
          <t>construct scatterplots and comment on the association between the 2 numerical variables in terms of strength, direction and linearity</t>
        </is>
      </c>
      <c r="E388" s="24" t="n">
        <v>3</v>
      </c>
      <c r="F388" s="24" t="inlineStr">
        <is>
          <t>informally using a line of good fit by eye to discuss reliability of any predictions</t>
        </is>
      </c>
    </row>
    <row r="389" ht="23.25" customHeight="1" s="16">
      <c r="A389" s="24" t="inlineStr">
        <is>
          <t>AC9M10ST03</t>
        </is>
      </c>
      <c r="B389" s="24" t="n">
        <v>10</v>
      </c>
      <c r="C389" s="24" t="inlineStr">
        <is>
          <t>Statistics</t>
        </is>
      </c>
      <c r="D389" s="24" t="inlineStr">
        <is>
          <t>construct scatterplots and comment on the association between the 2 numerical variables in terms of strength, direction and linearity</t>
        </is>
      </c>
      <c r="E389" s="24" t="n">
        <v>4</v>
      </c>
      <c r="F389" s="24" t="inlineStr">
        <is>
          <t>investigating the relationship between 2 variables of spear throwers used by Australian First Nations Peoples by using data to construct scatterplots, make comparisons and draw conclusions</t>
        </is>
      </c>
    </row>
    <row r="390" ht="23.25" customHeight="1" s="16">
      <c r="A390" s="24" t="inlineStr">
        <is>
          <t>AC9M10ST04</t>
        </is>
      </c>
      <c r="B390" s="24" t="n">
        <v>10</v>
      </c>
      <c r="C390" s="24" t="inlineStr">
        <is>
          <t>Statistics</t>
        </is>
      </c>
      <c r="D390" s="24" t="inlineStr">
        <is>
          <t>construct two-way tables and discuss possible relationship between categorical variables</t>
        </is>
      </c>
      <c r="E390" s="24" t="n">
        <v>1</v>
      </c>
      <c r="F390" s="24"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6">
      <c r="A391" s="24" t="inlineStr">
        <is>
          <t>AC9M10ST04</t>
        </is>
      </c>
      <c r="B391" s="24" t="n">
        <v>10</v>
      </c>
      <c r="C391" s="24" t="inlineStr">
        <is>
          <t>Statistics</t>
        </is>
      </c>
      <c r="D391" s="24" t="inlineStr">
        <is>
          <t>construct two-way tables and discuss possible relationship between categorical variables</t>
        </is>
      </c>
      <c r="E391" s="24" t="n">
        <v>2</v>
      </c>
      <c r="F391" s="24" t="inlineStr">
        <is>
          <t>recording data in two-way tables and using percentages and proportions to identify patterns and associations in the data</t>
        </is>
      </c>
    </row>
    <row r="392" ht="34.5" customHeight="1" s="16">
      <c r="A392" s="24" t="inlineStr">
        <is>
          <t>AC9M10ST04</t>
        </is>
      </c>
      <c r="B392" s="24" t="n">
        <v>10</v>
      </c>
      <c r="C392" s="24" t="inlineStr">
        <is>
          <t>Statistics</t>
        </is>
      </c>
      <c r="D392" s="24" t="inlineStr">
        <is>
          <t>construct two-way tables and discuss possible relationship between categorical variables</t>
        </is>
      </c>
      <c r="E392" s="24" t="n">
        <v>3</v>
      </c>
      <c r="F392" s="24"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6">
      <c r="A393" s="24" t="inlineStr">
        <is>
          <t>AC9M10ST05</t>
        </is>
      </c>
      <c r="B393" s="24" t="n">
        <v>10</v>
      </c>
      <c r="C393" s="24" t="inlineStr">
        <is>
          <t>Statistics</t>
        </is>
      </c>
      <c r="D393" s="24" t="inlineStr">
        <is>
          <t>plan and conduct statistical investigations of situations that involve bivariate data; evaluate and report findings with consideration of limitations of any inferences</t>
        </is>
      </c>
      <c r="E393" s="24" t="n">
        <v>1</v>
      </c>
      <c r="F393" s="24"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6">
      <c r="A394" s="24" t="inlineStr">
        <is>
          <t>AC9M10ST05</t>
        </is>
      </c>
      <c r="B394" s="24" t="n">
        <v>10</v>
      </c>
      <c r="C394" s="24" t="inlineStr">
        <is>
          <t>Statistics</t>
        </is>
      </c>
      <c r="D394" s="24" t="inlineStr">
        <is>
          <t>plan and conduct statistical investigations of situations that involve bivariate data; evaluate and report findings with consideration of limitations of any inferences</t>
        </is>
      </c>
      <c r="E394" s="24" t="n">
        <v>2</v>
      </c>
      <c r="F394" s="24" t="inlineStr">
        <is>
          <t>investigating anecdotal claims including those concerning climate, housing affordability and natural resources, with consideration of data validity and limitations of interpolation or extrapolation</t>
        </is>
      </c>
    </row>
    <row r="395" ht="23.25" customHeight="1" s="16">
      <c r="A395" s="24" t="inlineStr">
        <is>
          <t>AC9M10ST05</t>
        </is>
      </c>
      <c r="B395" s="24" t="n">
        <v>10</v>
      </c>
      <c r="C395" s="24" t="inlineStr">
        <is>
          <t>Statistics</t>
        </is>
      </c>
      <c r="D395" s="24" t="inlineStr">
        <is>
          <t>plan and conduct statistical investigations of situations that involve bivariate data; evaluate and report findings with consideration of limitations of any inferences</t>
        </is>
      </c>
      <c r="E395" s="24" t="n">
        <v>3</v>
      </c>
      <c r="F395" s="24" t="inlineStr">
        <is>
          <t>using a statistical investigation to address the question, “Is there a relationship between vaccines and immunity from a virus”</t>
        </is>
      </c>
    </row>
    <row r="396" ht="23.25" customHeight="1" s="16">
      <c r="A396" s="24" t="inlineStr">
        <is>
          <t>AC9M10ST05</t>
        </is>
      </c>
      <c r="B396" s="24" t="n">
        <v>10</v>
      </c>
      <c r="C396" s="24" t="inlineStr">
        <is>
          <t>Statistics</t>
        </is>
      </c>
      <c r="D396" s="24" t="inlineStr">
        <is>
          <t>plan and conduct statistical investigations of situations that involve bivariate data; evaluate and report findings with consideration of limitations of any inferences</t>
        </is>
      </c>
      <c r="E396" s="24" t="n">
        <v>4</v>
      </c>
      <c r="F396" s="24" t="inlineStr">
        <is>
          <t>investigating biodiversity changes in Australia before and after colonisation by comparing related bivariate numerical data, discussing and reporting on associations</t>
        </is>
      </c>
    </row>
    <row r="397" ht="23.25" customHeight="1" s="16">
      <c r="A397" s="24" t="inlineStr">
        <is>
          <t>AC9M10P01</t>
        </is>
      </c>
      <c r="B397" s="24" t="n">
        <v>10</v>
      </c>
      <c r="C397" s="24" t="inlineStr">
        <is>
          <t>Probability</t>
        </is>
      </c>
      <c r="D397" s="24" t="inlineStr">
        <is>
          <t>use the language of “if ... then”, “given”, “of”, “knowing that” to describe and interpret situations involving conditional probability</t>
        </is>
      </c>
      <c r="E397" s="24" t="n">
        <v>1</v>
      </c>
      <c r="F397" s="24" t="inlineStr">
        <is>
          <t>using two-way tables and Venn diagrams to understand conditional statements using the language of “if ... then ...”, “given”, “of”, “knowing that” and identifying common mistakes in interpreting such language</t>
        </is>
      </c>
    </row>
    <row r="398" ht="23.25" customHeight="1" s="16">
      <c r="A398" s="24" t="inlineStr">
        <is>
          <t>AC9M10P01</t>
        </is>
      </c>
      <c r="B398" s="24" t="n">
        <v>10</v>
      </c>
      <c r="C398" s="24" t="inlineStr">
        <is>
          <t>Probability</t>
        </is>
      </c>
      <c r="D398" s="24" t="inlineStr">
        <is>
          <t>use the language of “if ... then”, “given”, “of”, “knowing that” to describe and interpret situations involving conditional probability</t>
        </is>
      </c>
      <c r="E398" s="24" t="n">
        <v>2</v>
      </c>
      <c r="F398" s="24" t="inlineStr">
        <is>
          <t>using arrays and tree diagrams to represent, interpret and compare probabilities of dependent and independent events</t>
        </is>
      </c>
    </row>
    <row r="399" ht="23.25" customHeight="1" s="16">
      <c r="A399" s="24" t="inlineStr">
        <is>
          <t>AC9M10P02</t>
        </is>
      </c>
      <c r="B399" s="24" t="n">
        <v>10</v>
      </c>
      <c r="C399" s="24" t="inlineStr">
        <is>
          <t>Probability</t>
        </is>
      </c>
      <c r="D399" s="24" t="inlineStr">
        <is>
          <t>design and conduct repeated chance experiments and simulations using digital tools to model conditional probability and interpret results</t>
        </is>
      </c>
      <c r="E399" s="24" t="n">
        <v>1</v>
      </c>
      <c r="F399" s="24" t="inlineStr">
        <is>
          <t>using samples of different sizes with and without replacement from a population to identify when the difference in methods becomes negligible</t>
        </is>
      </c>
    </row>
    <row r="400" ht="23.25" customHeight="1" s="16">
      <c r="A400" s="24" t="inlineStr">
        <is>
          <t>AC9M10P02</t>
        </is>
      </c>
      <c r="B400" s="24" t="n">
        <v>10</v>
      </c>
      <c r="C400" s="24" t="inlineStr">
        <is>
          <t>Probability</t>
        </is>
      </c>
      <c r="D400" s="24" t="inlineStr">
        <is>
          <t>design and conduct repeated chance experiments and simulations using digital tools to model conditional probability and interpret results</t>
        </is>
      </c>
      <c r="E400" s="24" t="n">
        <v>2</v>
      </c>
      <c r="F400" s="24" t="inlineStr">
        <is>
          <t>recognising that an event can be dependent on another event and that this will affect the way its probability is calculated</t>
        </is>
      </c>
    </row>
    <row r="401" ht="23.25" customHeight="1" s="16">
      <c r="A401" s="24" t="inlineStr">
        <is>
          <t>AC9M10P02</t>
        </is>
      </c>
      <c r="B401" s="24" t="n">
        <v>10</v>
      </c>
      <c r="C401" s="24" t="inlineStr">
        <is>
          <t>Probability</t>
        </is>
      </c>
      <c r="D401" s="24" t="inlineStr">
        <is>
          <t>design and conduct repeated chance experiments and simulations using digital tools to model conditional probability and interpret results</t>
        </is>
      </c>
      <c r="E401" s="24" t="n">
        <v>3</v>
      </c>
      <c r="F401" s="24" t="inlineStr">
        <is>
          <t>using simulations to gather data on frequencies for situations involving chance that appear to be counter-intuitive, such as the three-door problem or the birthday problem</t>
        </is>
      </c>
    </row>
    <row r="402" ht="23.25" customHeight="1" s="16">
      <c r="A402" s="24" t="inlineStr">
        <is>
          <t>AC9M10P02</t>
        </is>
      </c>
      <c r="B402" s="24" t="n">
        <v>10</v>
      </c>
      <c r="C402" s="24" t="inlineStr">
        <is>
          <t>Probability</t>
        </is>
      </c>
      <c r="D402" s="24" t="inlineStr">
        <is>
          <t>design and conduct repeated chance experiments and simulations using digital tools to model conditional probability and interpret results</t>
        </is>
      </c>
      <c r="E402" s="24" t="n">
        <v>4</v>
      </c>
      <c r="F402" s="24" t="inlineStr">
        <is>
          <t>identifying situations in real-life where probability simulations are used for decision-making, such as supply and demand of product, insurance risk and queueing</t>
        </is>
      </c>
    </row>
    <row r="403" ht="23.25" customHeight="1" s="16">
      <c r="A403" s="24" t="inlineStr">
        <is>
          <t>AC9M10P02</t>
        </is>
      </c>
      <c r="B403" s="24" t="n">
        <v>10</v>
      </c>
      <c r="C403" s="24" t="inlineStr">
        <is>
          <t>Probability</t>
        </is>
      </c>
      <c r="D403" s="24" t="inlineStr">
        <is>
          <t>design and conduct repeated chance experiments and simulations using digital tools to model conditional probability and interpret results</t>
        </is>
      </c>
      <c r="E403" s="24" t="n">
        <v>5</v>
      </c>
      <c r="F403" s="24" t="inlineStr">
        <is>
          <t>using simulation to predict the number of people likely to be infected with a strain of flu or virus</t>
        </is>
      </c>
    </row>
  </sheetData>
  <autoFilter ref="A1:F40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15" min="1" max="1"/>
    <col width="13" customWidth="1" style="15" min="2" max="2"/>
    <col width="60" customWidth="1" style="15" min="3" max="3"/>
    <col width="35" customWidth="1" style="15" min="4" max="4"/>
    <col width="18" customWidth="1" style="15" min="5" max="5"/>
  </cols>
  <sheetData>
    <row r="1" ht="15" customHeight="1" s="16">
      <c r="A1" s="23" t="inlineStr">
        <is>
          <t>SA Year</t>
        </is>
      </c>
      <c r="B1" s="23" t="inlineStr">
        <is>
          <t>Strand</t>
        </is>
      </c>
      <c r="C1" s="23" t="inlineStr">
        <is>
          <t>SA Conceptual Understanding</t>
        </is>
      </c>
      <c r="D1" s="23" t="inlineStr">
        <is>
          <t>AC9 Descriptor(s) attached</t>
        </is>
      </c>
      <c r="E1" s="23" t="inlineStr">
        <is>
          <t>SA adaptation flag</t>
        </is>
      </c>
    </row>
    <row r="2" ht="15" customHeight="1" s="16">
      <c r="A2" s="25" t="inlineStr">
        <is>
          <t>(populate from SA Curriculum Prototype PDF)</t>
        </is>
      </c>
    </row>
    <row r="4" ht="15" customHeight="1" s="16">
      <c r="A4" s="18" t="inlineStr">
        <is>
          <t>Notes:</t>
        </is>
      </c>
    </row>
    <row r="5" ht="15" customHeight="1" s="16">
      <c r="A5" s="15" t="inlineStr">
        <is>
          <t>• * after code = SA adaptation of AC9 descriptor</t>
        </is>
      </c>
    </row>
    <row r="6" ht="15" customHeight="1" s="16">
      <c r="A6" s="15" t="inlineStr">
        <is>
          <t>• ^ after code = SA-created descriptor not in AC9</t>
        </is>
      </c>
    </row>
    <row r="7" ht="15" customHeight="1" s="16">
      <c r="A7" s="15" t="inlineStr">
        <is>
          <t>• Some AC9 descriptors sit under different SA Year than ACARA Year (e.g. AC9M8X may be SA Year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5" min="1" max="1"/>
    <col width="14" customWidth="1" style="15" min="2" max="7"/>
    <col width="10" customWidth="1" style="15" min="8" max="8"/>
  </cols>
  <sheetData>
    <row r="1" ht="19.5" customHeight="1" s="16">
      <c r="A1" s="17" t="inlineStr">
        <is>
          <t>Coverage Report</t>
        </is>
      </c>
    </row>
    <row r="3" ht="15" customHeight="1" s="16">
      <c r="A3" s="18" t="inlineStr">
        <is>
          <t>Status summary</t>
        </is>
      </c>
    </row>
    <row r="4" ht="15" customHeight="1" s="16">
      <c r="A4" s="20" t="inlineStr">
        <is>
          <t>Total lessons planned</t>
        </is>
      </c>
      <c r="B4" s="15">
        <f>COUNTA(Lessons!A2:A1000)</f>
        <v/>
      </c>
    </row>
    <row r="5" ht="15" customHeight="1" s="16">
      <c r="A5" s="20" t="inlineStr">
        <is>
          <t>Planned</t>
        </is>
      </c>
      <c r="B5" s="15">
        <f>COUNTIF(Lessons!N2:N1000,"Planned")</f>
        <v/>
      </c>
    </row>
    <row r="6" ht="15" customHeight="1" s="16">
      <c r="A6" s="20" t="inlineStr">
        <is>
          <t>Drafted</t>
        </is>
      </c>
      <c r="B6" s="15">
        <f>COUNTIF(Lessons!N2:N1000,"Drafted")</f>
        <v/>
      </c>
    </row>
    <row r="7" ht="15" customHeight="1" s="16">
      <c r="A7" s="20" t="inlineStr">
        <is>
          <t>Generated</t>
        </is>
      </c>
      <c r="B7" s="15">
        <f>COUNTIF(Lessons!N2:N1000,"Generated")</f>
        <v/>
      </c>
    </row>
    <row r="8" ht="15" customHeight="1" s="16">
      <c r="A8" s="20" t="inlineStr">
        <is>
          <t>Reviewed</t>
        </is>
      </c>
      <c r="B8" s="15">
        <f>COUNTIF(Lessons!N2:N1000,"Reviewed")</f>
        <v/>
      </c>
    </row>
    <row r="9" ht="15" customHeight="1" s="16">
      <c r="A9" s="20" t="inlineStr">
        <is>
          <t>Published</t>
        </is>
      </c>
      <c r="B9" s="15">
        <f>COUNTIF(Lessons!N2:N1000,"Published")</f>
        <v/>
      </c>
    </row>
    <row r="12" ht="15" customHeight="1" s="16">
      <c r="A12" s="18" t="inlineStr">
        <is>
          <t>Lessons planned by Year × Strand</t>
        </is>
      </c>
    </row>
    <row r="13" ht="15" customHeight="1" s="16">
      <c r="A13" s="26" t="inlineStr">
        <is>
          <t>Year</t>
        </is>
      </c>
      <c r="B13" s="26" t="inlineStr">
        <is>
          <t>Number</t>
        </is>
      </c>
      <c r="C13" s="26" t="inlineStr">
        <is>
          <t>Algebra</t>
        </is>
      </c>
      <c r="D13" s="26" t="inlineStr">
        <is>
          <t>Measurement</t>
        </is>
      </c>
      <c r="E13" s="26" t="inlineStr">
        <is>
          <t>Space</t>
        </is>
      </c>
      <c r="F13" s="26" t="inlineStr">
        <is>
          <t>Statistics</t>
        </is>
      </c>
      <c r="G13" s="26" t="inlineStr">
        <is>
          <t>Probability</t>
        </is>
      </c>
      <c r="H13" s="26" t="inlineStr">
        <is>
          <t>Total</t>
        </is>
      </c>
    </row>
    <row r="14" ht="15" customHeight="1" s="16">
      <c r="A14" s="26" t="n">
        <v>7</v>
      </c>
      <c r="B14" s="15">
        <f>COUNTIFS(Lessons!B:B,7,Lessons!C:C,"Number")</f>
        <v/>
      </c>
      <c r="C14" s="15">
        <f>COUNTIFS(Lessons!B:B,7,Lessons!C:C,"Algebra")</f>
        <v/>
      </c>
      <c r="D14" s="15">
        <f>COUNTIFS(Lessons!B:B,7,Lessons!C:C,"Measurement")</f>
        <v/>
      </c>
      <c r="E14" s="15">
        <f>COUNTIFS(Lessons!B:B,7,Lessons!C:C,"Space")</f>
        <v/>
      </c>
      <c r="F14" s="15">
        <f>COUNTIFS(Lessons!B:B,7,Lessons!C:C,"Statistics")</f>
        <v/>
      </c>
      <c r="G14" s="15">
        <f>COUNTIFS(Lessons!B:B,7,Lessons!C:C,"Probability")</f>
        <v/>
      </c>
      <c r="H14" s="15">
        <f>SUM(B14:G14)</f>
        <v/>
      </c>
    </row>
    <row r="15" ht="15" customHeight="1" s="16">
      <c r="A15" s="26" t="n">
        <v>8</v>
      </c>
      <c r="B15" s="15">
        <f>COUNTIFS(Lessons!B:B,8,Lessons!C:C,"Number")</f>
        <v/>
      </c>
      <c r="C15" s="15">
        <f>COUNTIFS(Lessons!B:B,8,Lessons!C:C,"Algebra")</f>
        <v/>
      </c>
      <c r="D15" s="15">
        <f>COUNTIFS(Lessons!B:B,8,Lessons!C:C,"Measurement")</f>
        <v/>
      </c>
      <c r="E15" s="15">
        <f>COUNTIFS(Lessons!B:B,8,Lessons!C:C,"Space")</f>
        <v/>
      </c>
      <c r="F15" s="15">
        <f>COUNTIFS(Lessons!B:B,8,Lessons!C:C,"Statistics")</f>
        <v/>
      </c>
      <c r="G15" s="15">
        <f>COUNTIFS(Lessons!B:B,8,Lessons!C:C,"Probability")</f>
        <v/>
      </c>
      <c r="H15" s="15">
        <f>SUM(B15:G15)</f>
        <v/>
      </c>
    </row>
    <row r="16" ht="15" customHeight="1" s="16">
      <c r="A16" s="26" t="n">
        <v>9</v>
      </c>
      <c r="B16" s="15">
        <f>COUNTIFS(Lessons!B:B,9,Lessons!C:C,"Number")</f>
        <v/>
      </c>
      <c r="C16" s="15">
        <f>COUNTIFS(Lessons!B:B,9,Lessons!C:C,"Algebra")</f>
        <v/>
      </c>
      <c r="D16" s="15">
        <f>COUNTIFS(Lessons!B:B,9,Lessons!C:C,"Measurement")</f>
        <v/>
      </c>
      <c r="E16" s="15">
        <f>COUNTIFS(Lessons!B:B,9,Lessons!C:C,"Space")</f>
        <v/>
      </c>
      <c r="F16" s="15">
        <f>COUNTIFS(Lessons!B:B,9,Lessons!C:C,"Statistics")</f>
        <v/>
      </c>
      <c r="G16" s="15">
        <f>COUNTIFS(Lessons!B:B,9,Lessons!C:C,"Probability")</f>
        <v/>
      </c>
      <c r="H16" s="15">
        <f>SUM(B16:G16)</f>
        <v/>
      </c>
    </row>
    <row r="17" ht="15" customHeight="1" s="16">
      <c r="A17" s="26" t="n">
        <v>10</v>
      </c>
      <c r="B17" s="15">
        <f>COUNTIFS(Lessons!B:B,10,Lessons!C:C,"Number")</f>
        <v/>
      </c>
      <c r="C17" s="15">
        <f>COUNTIFS(Lessons!B:B,10,Lessons!C:C,"Algebra")</f>
        <v/>
      </c>
      <c r="D17" s="15">
        <f>COUNTIFS(Lessons!B:B,10,Lessons!C:C,"Measurement")</f>
        <v/>
      </c>
      <c r="E17" s="15">
        <f>COUNTIFS(Lessons!B:B,10,Lessons!C:C,"Space")</f>
        <v/>
      </c>
      <c r="F17" s="15">
        <f>COUNTIFS(Lessons!B:B,10,Lessons!C:C,"Statistics")</f>
        <v/>
      </c>
      <c r="G17" s="15">
        <f>COUNTIFS(Lessons!B:B,10,Lessons!C:C,"Probability")</f>
        <v/>
      </c>
      <c r="H17" s="15">
        <f>SUM(B17:G17)</f>
        <v/>
      </c>
    </row>
    <row r="18" ht="15" customHeight="1" s="16">
      <c r="A18" s="26" t="inlineStr">
        <is>
          <t>Total</t>
        </is>
      </c>
      <c r="B18" s="26">
        <f>SUM(B14:B17)</f>
        <v/>
      </c>
      <c r="C18" s="26">
        <f>SUM(C14:C17)</f>
        <v/>
      </c>
      <c r="D18" s="26">
        <f>SUM(D14:D17)</f>
        <v/>
      </c>
      <c r="E18" s="26">
        <f>SUM(E14:E17)</f>
        <v/>
      </c>
      <c r="F18" s="26">
        <f>SUM(F14:F17)</f>
        <v/>
      </c>
      <c r="G18" s="26">
        <f>SUM(G14:G17)</f>
        <v/>
      </c>
      <c r="H18" s="26">
        <f>SUM(H14:H17)</f>
        <v/>
      </c>
    </row>
    <row r="21" ht="15" customHeight="1" s="16">
      <c r="A21" s="18" t="inlineStr">
        <is>
          <t>Descriptors not yet covered</t>
        </is>
      </c>
    </row>
    <row r="22" ht="15" customHeight="1" s="16">
      <c r="A22" s="27" t="inlineStr">
        <is>
          <t>(See Descriptors sheet; this view to be added as a manual filter or pivot. Auto-coverage check is in the Notes section below.)</t>
        </is>
      </c>
    </row>
    <row r="25" ht="15" customHeight="1" s="16">
      <c r="A25" s="18" t="inlineStr">
        <is>
          <t>How to use</t>
        </is>
      </c>
    </row>
    <row r="26" ht="41.25" customHeight="1" s="16">
      <c r="A26" s="21" t="inlineStr">
        <is>
          <t>• Status summary (B4-B9) updates automatically as Lessons rows are updated.</t>
        </is>
      </c>
    </row>
    <row r="27" ht="27.75" customHeight="1" s="16">
      <c r="A27" s="21" t="inlineStr">
        <is>
          <t>• Year × Strand grid shows where the library is dense vs sparse.</t>
        </is>
      </c>
    </row>
    <row r="28" ht="54.75" customHeight="1" s="16">
      <c r="A28" s="21" t="inlineStr">
        <is>
          <t>• To find AC9 codes not yet covered: filter the Descriptors sheet by Code, then check if that code appears in Lessons column G.</t>
        </is>
      </c>
    </row>
    <row r="29" ht="41.25" customHeight="1" s="16">
      <c r="A29" s="21" t="inlineStr">
        <is>
          <t>• When the library is mature, add a pivot table here for descriptor-level coverage.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2026-06-01T12:04:54Z</dcterms:modified>
  <cp:revision>0</cp:revision>
</cp:coreProperties>
</file>