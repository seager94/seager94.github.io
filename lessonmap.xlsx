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25820" windowHeight="15500" tabRatio="500" firstSheet="0" activeTab="1" autoFilterDateGrouping="1"/>
  </bookViews>
  <sheets>
    <sheet name="README" sheetId="1" state="visible" r:id="rId1"/>
    <sheet name="Lessons" sheetId="2" state="visible" r:id="rId2"/>
    <sheet name="Descriptors" sheetId="3" state="visible" r:id="rId3"/>
    <sheet name="SA Mapping" sheetId="4" state="visible" r:id="rId4"/>
    <sheet name="Coverage Report" sheetId="5" state="visible" r:id="rId5"/>
  </sheets>
  <definedNames>
    <definedName name="_xlnm._FilterDatabase" localSheetId="1" hidden="1">'Lessons'!$A$1:$P$20</definedName>
    <definedName name="_xlnm._FilterDatabase" localSheetId="2" hidden="1">'Descriptors'!$A$1:$F$403</definedName>
  </definedNames>
  <calcPr calcId="191029" fullCalcOnLoad="1" iterateDelta="0.0001"/>
</workbook>
</file>

<file path=xl/styles.xml><?xml version="1.0" encoding="utf-8"?>
<styleSheet xmlns="http://schemas.openxmlformats.org/spreadsheetml/2006/main">
  <numFmts count="1">
    <numFmt numFmtId="164" formatCode="yyyy-mm-dd h:mm:ss"/>
  </numFmts>
  <fonts count="9">
    <font>
      <name val="Calibri"/>
      <charset val="1"/>
      <family val="2"/>
      <color theme="1"/>
      <sz val="11"/>
    </font>
    <font>
      <name val="Georgia"/>
      <charset val="1"/>
      <b val="1"/>
      <color rgb="FF1D2B5E"/>
      <sz val="16"/>
    </font>
    <font>
      <name val="Calibri"/>
      <charset val="1"/>
      <b val="1"/>
      <color rgb="FF1D2B5E"/>
      <sz val="10"/>
    </font>
    <font>
      <name val="Cambria"/>
      <charset val="1"/>
      <b val="1"/>
      <sz val="10"/>
    </font>
    <font>
      <name val="Calibri"/>
      <charset val="1"/>
      <b val="1"/>
      <color rgb="FFFFFFFF"/>
      <sz val="11"/>
    </font>
    <font>
      <name val="Calibri"/>
      <charset val="1"/>
      <sz val="10"/>
    </font>
    <font>
      <name val="Cambria"/>
      <charset val="1"/>
      <i val="1"/>
      <color rgb="FF888888"/>
      <sz val="11"/>
    </font>
    <font>
      <name val="Cambria"/>
      <charset val="1"/>
      <b val="1"/>
      <sz val="11"/>
    </font>
    <font>
      <name val="Cambria"/>
      <charset val="1"/>
      <i val="1"/>
      <color rgb="FF666666"/>
      <sz val="11"/>
    </font>
  </fonts>
  <fills count="3">
    <fill>
      <patternFill/>
    </fill>
    <fill>
      <patternFill patternType="gray125"/>
    </fill>
    <fill>
      <patternFill patternType="solid">
        <fgColor rgb="FF1D2B5E"/>
        <bgColor rgb="FF333333"/>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4">
    <xf numFmtId="0" fontId="0" fillId="0" borderId="0" pivotButton="0" quotePrefix="0" xfId="0"/>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0" fillId="0" borderId="0" applyAlignment="1" pivotButton="0" quotePrefix="0" xfId="0">
      <alignment wrapText="1"/>
    </xf>
    <xf numFmtId="0" fontId="2" fillId="0" borderId="0" applyAlignment="1" pivotButton="0" quotePrefix="0" xfId="0">
      <alignment wrapText="1"/>
    </xf>
    <xf numFmtId="0" fontId="4" fillId="2" borderId="1" applyAlignment="1" pivotButton="0" quotePrefix="0" xfId="0">
      <alignment horizontal="left" vertical="center" wrapText="1"/>
    </xf>
    <xf numFmtId="0" fontId="5" fillId="0" borderId="1" applyAlignment="1" pivotButton="0" quotePrefix="0" xfId="0">
      <alignment horizontal="left" vertical="top" wrapText="1"/>
    </xf>
    <xf numFmtId="0" fontId="6" fillId="0" borderId="0" pivotButton="0" quotePrefix="0" xfId="0"/>
    <xf numFmtId="0" fontId="7" fillId="0" borderId="0" pivotButton="0" quotePrefix="0" xfId="0"/>
    <xf numFmtId="0" fontId="8" fillId="0" borderId="0" pivotButton="0" quotePrefix="0" xfId="0"/>
    <xf numFmtId="14" fontId="0" fillId="0" borderId="0" pivotButton="0" quotePrefix="0" xfId="0"/>
  </cellXfs>
  <cellStyles count="1">
    <cellStyle name="Normal" xfId="0" builtinId="0"/>
  </cellStyles>
  <dxfs count="5">
    <dxf>
      <font>
        <b val="1"/>
        <color rgb="FFFFFFFF"/>
      </font>
      <fill>
        <patternFill>
          <bgColor rgb="FF1D2B5E"/>
        </patternFill>
      </fill>
    </dxf>
    <dxf>
      <fill>
        <patternFill>
          <bgColor rgb="FFC6E5C0"/>
        </patternFill>
      </fill>
    </dxf>
    <dxf>
      <fill>
        <patternFill>
          <bgColor rgb="FFC9E4FF"/>
        </patternFill>
      </fill>
    </dxf>
    <dxf>
      <fill>
        <patternFill>
          <bgColor rgb="FFFFE9A8"/>
        </patternFill>
      </fill>
    </dxf>
    <dxf>
      <fill>
        <patternFill>
          <bgColor rgb="FFF3F5F8"/>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88888"/>
      <rgbColor rgb="FF9999FF"/>
      <rgbColor rgb="FF993366"/>
      <rgbColor rgb="FFF3F5F8"/>
      <rgbColor rgb="FFCCFFFF"/>
      <rgbColor rgb="FF660066"/>
      <rgbColor rgb="FFFF8080"/>
      <rgbColor rgb="FF0066CC"/>
      <rgbColor rgb="FFC9E4FF"/>
      <rgbColor rgb="FF000080"/>
      <rgbColor rgb="FFFF00FF"/>
      <rgbColor rgb="FFFFFF00"/>
      <rgbColor rgb="FF00FFFF"/>
      <rgbColor rgb="FF800080"/>
      <rgbColor rgb="FF800000"/>
      <rgbColor rgb="FF008080"/>
      <rgbColor rgb="FF0000FF"/>
      <rgbColor rgb="FF00CCFF"/>
      <rgbColor rgb="FFCCFFFF"/>
      <rgbColor rgb="FFC6E5C0"/>
      <rgbColor rgb="FFFFE9A8"/>
      <rgbColor rgb="FF99CCFF"/>
      <rgbColor rgb="FFFF99CC"/>
      <rgbColor rgb="FFCC99FF"/>
      <rgbColor rgb="FFFFCC99"/>
      <rgbColor rgb="FF3366FF"/>
      <rgbColor rgb="FF33CCCC"/>
      <rgbColor rgb="FF99CC00"/>
      <rgbColor rgb="FFFFCC00"/>
      <rgbColor rgb="FFFF9900"/>
      <rgbColor rgb="FFFF6600"/>
      <rgbColor rgb="FF666666"/>
      <rgbColor rgb="FF969696"/>
      <rgbColor rgb="FF1D2B5E"/>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9"/>
  <sheetViews>
    <sheetView topLeftCell="A19" zoomScaleNormal="100" workbookViewId="0">
      <selection activeCell="B4" sqref="B4"/>
    </sheetView>
  </sheetViews>
  <sheetFormatPr baseColWidth="8" defaultColWidth="8.6328125" defaultRowHeight="14.5"/>
  <cols>
    <col width="22" customWidth="1" style="1" min="1" max="1"/>
    <col width="90" customWidth="1" style="1" min="2" max="2"/>
  </cols>
  <sheetData>
    <row r="1" ht="19.5" customHeight="1" s="1">
      <c r="A1" s="2" t="inlineStr">
        <is>
          <t>Lesson Map — AC9 Mathematics 7-10</t>
        </is>
      </c>
    </row>
    <row r="3" ht="15" customHeight="1" s="1">
      <c r="A3" s="3" t="inlineStr">
        <is>
          <t>Purpose</t>
        </is>
      </c>
    </row>
    <row r="4" ht="229.5" customHeight="1" s="1">
      <c r="A4" s="4" t="inlineStr">
        <is>
          <t>Single source of truth for the planned interactive HTML lesson library. One row per planned lesson on the 'Lessons' sheet. Each lesson is tagged to AC9 descriptor(s) and elaboration(s), so the spreadsheet doubles as a curriculum-coverage audit trail. Tasks.txt files for overnight batches are generated FROM this sheet — pick a slice of unbuilt rows, transform to task prompts, run the batch.</t>
        </is>
      </c>
    </row>
    <row r="6" ht="15" customHeight="1" s="1">
      <c r="A6" s="3" t="inlineStr">
        <is>
          <t>Sheet structure</t>
        </is>
      </c>
    </row>
    <row r="7" ht="15" customHeight="1" s="1">
      <c r="A7" s="5" t="inlineStr">
        <is>
          <t>Lessons</t>
        </is>
      </c>
      <c r="B7" s="6" t="inlineStr">
        <is>
          <t>Primary working sheet. One row per planned lesson. Add/edit here as the library is planned.</t>
        </is>
      </c>
    </row>
    <row r="8" ht="15" customHeight="1" s="1">
      <c r="A8" s="5" t="inlineStr">
        <is>
          <t>Descriptors</t>
        </is>
      </c>
      <c r="B8" s="6" t="inlineStr">
        <is>
          <t>Reference. The 101 AC9 v9 Mathematics content descriptors for Years 7-10. Read-only.</t>
        </is>
      </c>
    </row>
    <row r="9" ht="27.75" customHeight="1" s="1">
      <c r="A9" s="5" t="inlineStr">
        <is>
          <t>SA Mapping</t>
        </is>
      </c>
      <c r="B9" s="6" t="inlineStr">
        <is>
          <t>Reference. SA Conceptual Understandings → AC9 descriptor codes. To be populated from the SA Curriculum Prototype PDF.</t>
        </is>
      </c>
    </row>
    <row r="10" ht="15" customHeight="1" s="1">
      <c r="A10" s="5" t="inlineStr">
        <is>
          <t>Coverage Report</t>
        </is>
      </c>
      <c r="B10" s="6" t="inlineStr">
        <is>
          <t>Auto-generated summary: descriptors covered, lessons built, lessons published, gaps.</t>
        </is>
      </c>
    </row>
    <row r="12" ht="15" customHeight="1" s="1">
      <c r="A12" s="3" t="inlineStr">
        <is>
          <t>Column conventions (Lessons sheet)</t>
        </is>
      </c>
    </row>
    <row r="13" ht="15" customHeight="1" s="1">
      <c r="A13" s="5" t="inlineStr">
        <is>
          <t>Lesson ID</t>
        </is>
      </c>
      <c r="B13" s="6" t="inlineStr">
        <is>
          <t>Stable identifier, e.g. y7_num_01. Used to derive filename.</t>
        </is>
      </c>
    </row>
    <row r="14" ht="15" customHeight="1" s="1">
      <c r="A14" s="5" t="inlineStr">
        <is>
          <t>Year</t>
        </is>
      </c>
      <c r="B14" s="6" t="inlineStr">
        <is>
          <t>SA Year level where this lesson is taught (7-10).</t>
        </is>
      </c>
    </row>
    <row r="15" ht="15" customHeight="1" s="1">
      <c r="A15" s="5" t="inlineStr">
        <is>
          <t>Strand</t>
        </is>
      </c>
      <c r="B15" s="6" t="inlineStr">
        <is>
          <t>Number / Algebra / Measurement / Space / Statistics / Probability.</t>
        </is>
      </c>
    </row>
    <row r="16" ht="15" customHeight="1" s="1">
      <c r="A16" s="5" t="inlineStr">
        <is>
          <t>Lesson #</t>
        </is>
      </c>
      <c r="B16" s="6" t="inlineStr">
        <is>
          <t>Sequence within Year+Strand. Two-digit (01-99).</t>
        </is>
      </c>
    </row>
    <row r="17" ht="15" customHeight="1" s="1">
      <c r="A17" s="5" t="inlineStr">
        <is>
          <t>Topic (snake_case)</t>
        </is>
      </c>
      <c r="B17" s="6" t="inlineStr">
        <is>
          <t>Used in filename. E.g. perfect_squares_and_roots.</t>
        </is>
      </c>
    </row>
    <row r="18" ht="15" customHeight="1" s="1">
      <c r="A18" s="5" t="inlineStr">
        <is>
          <t>Filename</t>
        </is>
      </c>
      <c r="B18" s="6" t="inlineStr">
        <is>
          <t>Auto-built: y{Year}_{strand_abbr}_{##}_{topic}_v2.html.</t>
        </is>
      </c>
    </row>
    <row r="19" ht="15" customHeight="1" s="1">
      <c r="A19" s="5" t="inlineStr">
        <is>
          <t>AC9 Descriptor(s)</t>
        </is>
      </c>
      <c r="B19" s="6" t="inlineStr">
        <is>
          <t>Comma-separated AC9 codes. Most lessons are one code; some span multiple.</t>
        </is>
      </c>
    </row>
    <row r="20" ht="15" customHeight="1" s="1">
      <c r="A20" s="5" t="inlineStr">
        <is>
          <t>Elaboration #s</t>
        </is>
      </c>
      <c r="B20" s="6" t="inlineStr">
        <is>
          <t>Which elaborations of that descriptor are covered. e.g. '1,3' or 'all'.</t>
        </is>
      </c>
    </row>
    <row r="21" ht="15" customHeight="1" s="1">
      <c r="A21" s="5" t="inlineStr">
        <is>
          <t>Mapping note</t>
        </is>
      </c>
      <c r="B21" s="6" t="inlineStr">
        <is>
          <t>'Strict' or 'Implied' or explanatory note for non-obvious mappings.</t>
        </is>
      </c>
    </row>
    <row r="22" ht="15" customHeight="1" s="1">
      <c r="A22" s="5" t="inlineStr">
        <is>
          <t>SA Conceptual Understanding</t>
        </is>
      </c>
      <c r="B22" s="6" t="inlineStr">
        <is>
          <t>AUTHORITATIVE per SA_CIMT_Curriculum_Mapping_v5 / sa-curriculum-cu-mapping.json. The CU statement this lesson sits under at the SA Year level. Pre-populated; do not invent.</t>
        </is>
      </c>
    </row>
    <row r="23" ht="15" customHeight="1" s="1">
      <c r="A23" s="5" t="inlineStr">
        <is>
          <t>Lesson focus</t>
        </is>
      </c>
      <c r="B23" s="6" t="inlineStr">
        <is>
          <t>One-line statement of what this lesson teaches.</t>
        </is>
      </c>
    </row>
    <row r="24" ht="15" customHeight="1" s="1">
      <c r="A24" s="5" t="inlineStr">
        <is>
          <t>Practice style</t>
        </is>
      </c>
      <c r="B24" s="6" t="inlineStr">
        <is>
          <t>auto-marked / strategy-MCQ / matching / mixed. Hints at skill template needed.</t>
        </is>
      </c>
    </row>
    <row r="25" ht="15" customHeight="1" s="1">
      <c r="A25" s="5" t="inlineStr">
        <is>
          <t>Prerequisites</t>
        </is>
      </c>
      <c r="B25" s="6" t="inlineStr">
        <is>
          <t>Lesson IDs of prerequisite lessons within this map.</t>
        </is>
      </c>
    </row>
    <row r="26" ht="15" customHeight="1" s="1">
      <c r="A26" s="5" t="inlineStr">
        <is>
          <t>Status</t>
        </is>
      </c>
      <c r="B26" s="6" t="inlineStr">
        <is>
          <t>Planned / Drafted / Generated / Reviewed / Published.</t>
        </is>
      </c>
    </row>
    <row r="27" ht="15" customHeight="1" s="1">
      <c r="A27" s="5" t="inlineStr">
        <is>
          <t>Generated date</t>
        </is>
      </c>
      <c r="B27" s="6" t="inlineStr">
        <is>
          <t>Date the HTML file was generated. ISO format.</t>
        </is>
      </c>
    </row>
    <row r="28" ht="15" customHeight="1" s="1">
      <c r="A28" s="5" t="inlineStr">
        <is>
          <t>Published URL</t>
        </is>
      </c>
      <c r="B28" s="6" t="inlineStr">
        <is>
          <t>GitHub Pages URL once live.</t>
        </is>
      </c>
    </row>
    <row r="29" ht="15" customHeight="1" s="1">
      <c r="A29" s="5" t="inlineStr">
        <is>
          <t>Notes</t>
        </is>
      </c>
      <c r="B29" s="6" t="inlineStr">
        <is>
          <t>Free-text: cohort considerations, watershed flags, re-generation history.</t>
        </is>
      </c>
    </row>
    <row r="30" ht="15" customHeight="1" s="1">
      <c r="A30" s="3" t="n"/>
    </row>
    <row r="31" ht="81.75" customHeight="1" s="1">
      <c r="A31" s="7" t="inlineStr">
        <is>
          <t>Workflow</t>
        </is>
      </c>
    </row>
    <row r="32" ht="27.75" customHeight="1" s="1">
      <c r="A32" s="6" t="inlineStr">
        <is>
          <t>1. Plan: in Claude.ai project chat, work through one Year+Strand at a time. Decide lesson splits. Output rows to add here.</t>
        </is>
      </c>
    </row>
    <row r="33" ht="68.25" customHeight="1" s="1">
      <c r="A33" s="6" t="inlineStr">
        <is>
          <t>2. Add rows to Lessons sheet (Status = Planned). Pre-populate SA Conceptual Understanding from sa-curriculum-cu-mapping.json.</t>
        </is>
      </c>
    </row>
    <row r="34" ht="68.25" customHeight="1" s="1">
      <c r="A34" s="6" t="inlineStr">
        <is>
          <t>3. Pick a batch: filter Lessons by Status=Planned for the next overnight run (~10 lessons).</t>
        </is>
      </c>
    </row>
    <row r="35" ht="54.75" customHeight="1" s="1">
      <c r="A35" s="6" t="inlineStr">
        <is>
          <t>4. Generate tasks.txt: ask Claude.ai to transform those rows into tasks.txt entries using the standard task pattern. CU column copies straight through — no lookup needed.</t>
        </is>
      </c>
    </row>
    <row r="36" ht="68.25" customHeight="1" s="1">
      <c r="A36" s="6" t="inlineStr">
        <is>
          <t>5. Run overnight batch on Dell. Update Status to Generated + Generated date.</t>
        </is>
      </c>
    </row>
    <row r="37" ht="41.25" customHeight="1" s="1">
      <c r="A37" s="6" t="inlineStr">
        <is>
          <t>6. Review lessons. Update Status to Reviewed (or back to Planned with a Note if regenerating).</t>
        </is>
      </c>
    </row>
    <row r="38" ht="41.25" customHeight="1" s="1">
      <c r="A38" s="6" t="inlineStr">
        <is>
          <t>7. Publish. Update Status to Published + Published URL.</t>
        </is>
      </c>
    </row>
    <row r="39" ht="41.25" customHeight="1" s="1">
      <c r="A39" s="6" t="inlineStr">
        <is>
          <t>8. Coverage Report sheet auto-summarises progress.</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Q222"/>
  <sheetViews>
    <sheetView tabSelected="1" zoomScaleNormal="100" workbookViewId="0">
      <pane xSplit="1" ySplit="1" topLeftCell="J96" activePane="bottomRight" state="frozen"/>
      <selection pane="topRight" activeCell="B1" sqref="B1"/>
      <selection pane="bottomLeft" activeCell="A2" sqref="A2"/>
      <selection pane="bottomRight" activeCell="P112" sqref="P112"/>
    </sheetView>
  </sheetViews>
  <sheetFormatPr baseColWidth="8" defaultColWidth="8.6328125" defaultRowHeight="14.5"/>
  <cols>
    <col width="13" customWidth="1" style="1" min="1" max="1"/>
    <col width="6" customWidth="1" style="1" min="2" max="2"/>
    <col width="12" customWidth="1" style="1" min="3" max="3"/>
    <col width="9" customWidth="1" style="1" min="4" max="4"/>
    <col width="34" customWidth="1" style="1" min="5" max="5"/>
    <col width="42" customWidth="1" style="1" min="6" max="6"/>
    <col width="18" customWidth="1" style="1" min="7" max="7"/>
    <col width="14" customWidth="1" style="1" min="8" max="9"/>
    <col width="50" customWidth="1" style="1" min="10" max="10"/>
    <col width="22" customWidth="1" style="1" min="11" max="12"/>
    <col width="12" customWidth="1" style="1" min="13" max="13"/>
    <col width="13" customWidth="1" style="1" min="14" max="14"/>
    <col width="34" customWidth="1" style="1" min="15" max="15"/>
    <col width="40" customWidth="1" style="1" min="16" max="16"/>
  </cols>
  <sheetData>
    <row r="1" ht="27.75" customHeight="1" s="1">
      <c r="A1" s="8" t="inlineStr">
        <is>
          <t>Lesson ID</t>
        </is>
      </c>
      <c r="B1" s="8" t="inlineStr">
        <is>
          <t>Year</t>
        </is>
      </c>
      <c r="C1" s="8" t="inlineStr">
        <is>
          <t>Strand</t>
        </is>
      </c>
      <c r="D1" s="8" t="inlineStr">
        <is>
          <t>Lesson #</t>
        </is>
      </c>
      <c r="E1" s="8" t="inlineStr">
        <is>
          <t>Topic (snake_case)</t>
        </is>
      </c>
      <c r="F1" s="8" t="inlineStr">
        <is>
          <t>Filename</t>
        </is>
      </c>
      <c r="G1" s="8" t="inlineStr">
        <is>
          <t>AC9 Descriptor(s)</t>
        </is>
      </c>
      <c r="H1" s="8" t="inlineStr">
        <is>
          <t>Elaboration #s</t>
        </is>
      </c>
      <c r="I1" s="8" t="inlineStr">
        <is>
          <t>Mapping note</t>
        </is>
      </c>
      <c r="J1" s="8" t="inlineStr">
        <is>
          <t>SA Conceptual Understanding</t>
        </is>
      </c>
      <c r="K1" s="8" t="inlineStr">
        <is>
          <t>Lesson focus</t>
        </is>
      </c>
      <c r="L1" s="8" t="inlineStr">
        <is>
          <t>Practice style</t>
        </is>
      </c>
      <c r="M1" s="8" t="inlineStr">
        <is>
          <t>Prerequisites</t>
        </is>
      </c>
      <c r="N1" s="8" t="inlineStr">
        <is>
          <t>Status</t>
        </is>
      </c>
      <c r="O1" s="8" t="inlineStr">
        <is>
          <t>Generated date</t>
        </is>
      </c>
      <c r="P1" s="8" t="inlineStr">
        <is>
          <t>Published URL</t>
        </is>
      </c>
      <c r="Q1" s="8" t="inlineStr">
        <is>
          <t>Notes</t>
        </is>
      </c>
    </row>
    <row r="2" ht="23.25" customHeight="1" s="1">
      <c r="A2" t="inlineStr">
        <is>
          <t>y7_num_01</t>
        </is>
      </c>
      <c r="B2" t="n">
        <v>7</v>
      </c>
      <c r="C2" t="inlineStr">
        <is>
          <t>Number</t>
        </is>
      </c>
      <c r="D2" t="inlineStr">
        <is>
          <t>01</t>
        </is>
      </c>
      <c r="E2" t="inlineStr">
        <is>
          <t>perfect_squares_and_roots</t>
        </is>
      </c>
      <c r="F2">
        <f>"y"&amp;B2&amp;"_"&amp;IF(C2="Number","num",IF(C2="Algebra","alg",IF(C2="Measurement","meas",IF(C2="Space","space",IF(C2="Statistics","stats",IF(C2="Probability","prob","UNK"))))))&amp;"_"&amp;D2&amp;"_"&amp;E2&amp;"_v2.html"</f>
        <v/>
      </c>
      <c r="G2" t="inlineStr">
        <is>
          <t>AC9M7N01</t>
        </is>
      </c>
      <c r="H2" t="inlineStr">
        <is>
          <t>1,3,4</t>
        </is>
      </c>
      <c r="I2" t="inlineStr">
        <is>
          <t>Strict</t>
        </is>
      </c>
      <c r="J2" t="inlineStr">
        <is>
          <t>Rational numbers can be represented in many equivalent ways</t>
        </is>
      </c>
      <c r="K2" t="inlineStr">
        <is>
          <t>Build perfect squares from dot/area visuals; relate squares and roots as inverse; estimate √n between consecutive integers; spot patterns.</t>
        </is>
      </c>
      <c r="L2" t="inlineStr">
        <is>
          <t>auto-marked</t>
        </is>
      </c>
      <c r="N2" t="inlineStr">
        <is>
          <t>Published</t>
        </is>
      </c>
      <c r="P2" t="inlineStr">
        <is>
          <t>https://seager94.github.io/year-7/number/y7_num_01_perfect_squares_and_roots_v2.html</t>
        </is>
      </c>
      <c r="Q2" t="inlineStr">
        <is>
          <t>Status reconciled from repo 2026-05-30 (generated date unconfirmed)</t>
        </is>
      </c>
    </row>
    <row r="3" ht="23.25" customHeight="1" s="1">
      <c r="A3" t="inlineStr">
        <is>
          <t>y7_num_02</t>
        </is>
      </c>
      <c r="B3" t="n">
        <v>7</v>
      </c>
      <c r="C3" t="inlineStr">
        <is>
          <t>Number</t>
        </is>
      </c>
      <c r="D3" t="inlineStr">
        <is>
          <t>02</t>
        </is>
      </c>
      <c r="E3" t="inlineStr">
        <is>
          <t>squaring_and_problem_solving</t>
        </is>
      </c>
      <c r="F3">
        <f>"y"&amp;B3&amp;"_"&amp;IF(C3="Number","num",IF(C3="Algebra","alg",IF(C3="Measurement","meas",IF(C3="Space","space",IF(C3="Statistics","stats",IF(C3="Probability","prob","UNK"))))))&amp;"_"&amp;D3&amp;"_"&amp;E3&amp;"_v2.html"</f>
        <v/>
      </c>
      <c r="G3" t="inlineStr">
        <is>
          <t>AC9M7N01</t>
        </is>
      </c>
      <c r="H3" t="inlineStr">
        <is>
          <t>2,5</t>
        </is>
      </c>
      <c r="I3" t="inlineStr">
        <is>
          <t>Strict</t>
        </is>
      </c>
      <c r="J3" t="inlineStr">
        <is>
          <t>Rational numbers can be represented in many equivalent ways</t>
        </is>
      </c>
      <c r="K3" t="inlineStr">
        <is>
          <t>Square two-digit numbers via (40+3)²; apply to tiled-floor area/perimeter problems.</t>
        </is>
      </c>
      <c r="L3" t="inlineStr">
        <is>
          <t>auto-marked</t>
        </is>
      </c>
      <c r="M3" t="inlineStr">
        <is>
          <t>y7_num_01</t>
        </is>
      </c>
      <c r="N3" t="inlineStr">
        <is>
          <t>Published</t>
        </is>
      </c>
      <c r="P3" t="inlineStr">
        <is>
          <t>https://seager94.github.io/year-7/number/y7_num_02_squaring_and_problem_solving_v2.html</t>
        </is>
      </c>
      <c r="Q3" t="inlineStr">
        <is>
          <t>Status reconciled from repo 2026-05-30 (generated date unconfirmed)</t>
        </is>
      </c>
    </row>
    <row r="4" ht="23.25" customHeight="1" s="1">
      <c r="A4" t="inlineStr">
        <is>
          <t>y7_num_03</t>
        </is>
      </c>
      <c r="B4" t="n">
        <v>7</v>
      </c>
      <c r="C4" t="inlineStr">
        <is>
          <t>Number</t>
        </is>
      </c>
      <c r="D4" t="inlineStr">
        <is>
          <t>03</t>
        </is>
      </c>
      <c r="E4" t="inlineStr">
        <is>
          <t>prime_factorisation</t>
        </is>
      </c>
      <c r="F4">
        <f>"y"&amp;B4&amp;"_"&amp;IF(C4="Number","num",IF(C4="Algebra","alg",IF(C4="Measurement","meas",IF(C4="Space","space",IF(C4="Statistics","stats",IF(C4="Probability","prob","UNK"))))))&amp;"_"&amp;D4&amp;"_"&amp;E4&amp;"_v2.html"</f>
        <v/>
      </c>
      <c r="G4" t="inlineStr">
        <is>
          <t>AC9M7N02</t>
        </is>
      </c>
      <c r="H4" t="inlineStr">
        <is>
          <t>1,2</t>
        </is>
      </c>
      <c r="I4" t="inlineStr">
        <is>
          <t>Strict</t>
        </is>
      </c>
      <c r="J4" t="inlineStr">
        <is>
          <t>Numbers with repeated factors can be expressed using exponential notation</t>
        </is>
      </c>
      <c r="K4" t="inlineStr">
        <is>
          <t>Factor trees and repeated prime division; express n as products of prime powers; build fluency with powers of 2, 3, 5.</t>
        </is>
      </c>
      <c r="L4" t="inlineStr">
        <is>
          <t>auto-marked</t>
        </is>
      </c>
      <c r="N4" t="inlineStr">
        <is>
          <t>Published</t>
        </is>
      </c>
      <c r="P4" t="inlineStr">
        <is>
          <t>https://seager94.github.io/year-7/number/y7_num_03_prime_factorisation_v2.html</t>
        </is>
      </c>
      <c r="Q4" t="inlineStr">
        <is>
          <t>Status reconciled from repo 2026-05-30 (generated date unconfirmed)</t>
        </is>
      </c>
    </row>
    <row r="5" ht="23.25" customHeight="1" s="1">
      <c r="A5" t="inlineStr">
        <is>
          <t>y7_num_04</t>
        </is>
      </c>
      <c r="B5" t="n">
        <v>7</v>
      </c>
      <c r="C5" t="inlineStr">
        <is>
          <t>Number</t>
        </is>
      </c>
      <c r="D5" t="inlineStr">
        <is>
          <t>04</t>
        </is>
      </c>
      <c r="E5" t="inlineStr">
        <is>
          <t>lcm_hcf_via_prime_factors</t>
        </is>
      </c>
      <c r="F5">
        <f>"y"&amp;B5&amp;"_"&amp;IF(C5="Number","num",IF(C5="Algebra","alg",IF(C5="Measurement","meas",IF(C5="Space","space",IF(C5="Statistics","stats",IF(C5="Probability","prob","UNK"))))))&amp;"_"&amp;D5&amp;"_"&amp;E5&amp;"_v2.html"</f>
        <v/>
      </c>
      <c r="G5" t="inlineStr">
        <is>
          <t>AC9M7N02</t>
        </is>
      </c>
      <c r="H5" t="inlineStr">
        <is>
          <t>3</t>
        </is>
      </c>
      <c r="I5" t="inlineStr">
        <is>
          <t>Strict</t>
        </is>
      </c>
      <c r="J5" t="inlineStr">
        <is>
          <t>Numbers with repeated factors can be expressed using exponential notation</t>
        </is>
      </c>
      <c r="K5" t="inlineStr">
        <is>
          <t>Find LCM and HCF by comparing prime factorisations. Timetable/packaging contexts.</t>
        </is>
      </c>
      <c r="L5" t="inlineStr">
        <is>
          <t>auto-marked</t>
        </is>
      </c>
      <c r="M5" t="inlineStr">
        <is>
          <t>y7_num_03</t>
        </is>
      </c>
      <c r="N5" t="inlineStr">
        <is>
          <t>Published</t>
        </is>
      </c>
      <c r="P5" t="inlineStr">
        <is>
          <t>https://seager94.github.io/year-7/number/y7_num_04_lcm_hcf_via_prime_factors_v2.html</t>
        </is>
      </c>
      <c r="Q5" t="inlineStr">
        <is>
          <t>Status reconciled from repo 2026-05-30 (generated date unconfirmed)</t>
        </is>
      </c>
    </row>
    <row r="6" ht="23.25" customHeight="1" s="1">
      <c r="A6" t="inlineStr">
        <is>
          <t>y7_num_05</t>
        </is>
      </c>
      <c r="B6" t="n">
        <v>7</v>
      </c>
      <c r="C6" t="inlineStr">
        <is>
          <t>Number</t>
        </is>
      </c>
      <c r="D6" t="inlineStr">
        <is>
          <t>05</t>
        </is>
      </c>
      <c r="E6" t="inlineStr">
        <is>
          <t>expanded_notation_powers_of_10</t>
        </is>
      </c>
      <c r="F6">
        <f>"y"&amp;B6&amp;"_"&amp;IF(C6="Number","num",IF(C6="Algebra","alg",IF(C6="Measurement","meas",IF(C6="Space","space",IF(C6="Statistics","stats",IF(C6="Probability","prob","UNK"))))))&amp;"_"&amp;D6&amp;"_"&amp;E6&amp;"_v2.html"</f>
        <v/>
      </c>
      <c r="G6" t="inlineStr">
        <is>
          <t>AC9M7N03</t>
        </is>
      </c>
      <c r="H6" t="inlineStr">
        <is>
          <t>all</t>
        </is>
      </c>
      <c r="I6" t="inlineStr">
        <is>
          <t>Strict</t>
        </is>
      </c>
      <c r="J6" t="inlineStr">
        <is>
          <t>Rational numbers can be represented in many equivalent ways</t>
        </is>
      </c>
      <c r="K6" t="inlineStr">
        <is>
          <t>Powers of 10 notation; sequence 10, 100, 1000 ↔ 10¹, 10², 10³; expanded notation using place value.</t>
        </is>
      </c>
      <c r="L6" t="inlineStr">
        <is>
          <t>auto-marked</t>
        </is>
      </c>
      <c r="N6" t="inlineStr">
        <is>
          <t>Published</t>
        </is>
      </c>
      <c r="P6" t="inlineStr">
        <is>
          <t>https://seager94.github.io/year-7/number/y7_num_05_expanded_notation_powers_of_10_v2.html</t>
        </is>
      </c>
      <c r="Q6" t="inlineStr">
        <is>
          <t>Status reconciled from repo 2026-05-30 (generated date unconfirmed)</t>
        </is>
      </c>
    </row>
    <row r="7" ht="23.25" customHeight="1" s="1">
      <c r="A7" t="inlineStr">
        <is>
          <t>y7_num_06</t>
        </is>
      </c>
      <c r="B7" t="n">
        <v>7</v>
      </c>
      <c r="C7" t="inlineStr">
        <is>
          <t>Number</t>
        </is>
      </c>
      <c r="D7" t="inlineStr">
        <is>
          <t>06</t>
        </is>
      </c>
      <c r="E7" t="inlineStr">
        <is>
          <t>equivalent_fractions</t>
        </is>
      </c>
      <c r="F7">
        <f>"y"&amp;B7&amp;"_"&amp;IF(C7="Number","num",IF(C7="Algebra","alg",IF(C7="Measurement","meas",IF(C7="Space","space",IF(C7="Statistics","stats",IF(C7="Probability","prob","UNK"))))))&amp;"_"&amp;D7&amp;"_"&amp;E7&amp;"_v2.html"</f>
        <v/>
      </c>
      <c r="G7" t="inlineStr">
        <is>
          <t>AC9M7N04</t>
        </is>
      </c>
      <c r="H7" t="inlineStr">
        <is>
          <t>1,2</t>
        </is>
      </c>
      <c r="I7" t="inlineStr">
        <is>
          <t>Strict</t>
        </is>
      </c>
      <c r="J7" t="inlineStr">
        <is>
          <t>Rational numbers can be represented in many equivalent ways</t>
        </is>
      </c>
      <c r="K7" t="inlineStr">
        <is>
          <t>Equivalent fractions via common multiples, fraction wall, number line; simplify using common divisors.</t>
        </is>
      </c>
      <c r="L7" t="inlineStr">
        <is>
          <t>auto-marked</t>
        </is>
      </c>
      <c r="N7" t="inlineStr">
        <is>
          <t>Published</t>
        </is>
      </c>
      <c r="P7" t="inlineStr">
        <is>
          <t>https://seager94.github.io/year-7/number/y7_num_06_equivalent_fractions_v2.html</t>
        </is>
      </c>
      <c r="Q7" t="inlineStr">
        <is>
          <t>Status reconciled from repo 2026-05-30 (generated date unconfirmed)</t>
        </is>
      </c>
    </row>
    <row r="8" ht="23.25" customHeight="1" s="1">
      <c r="A8" t="inlineStr">
        <is>
          <t>y7_num_07</t>
        </is>
      </c>
      <c r="B8" t="n">
        <v>7</v>
      </c>
      <c r="C8" t="inlineStr">
        <is>
          <t>Number</t>
        </is>
      </c>
      <c r="D8" t="inlineStr">
        <is>
          <t>07</t>
        </is>
      </c>
      <c r="E8" t="inlineStr">
        <is>
          <t>fractions_decimals_percentages</t>
        </is>
      </c>
      <c r="F8">
        <f>"y"&amp;B8&amp;"_"&amp;IF(C8="Number","num",IF(C8="Algebra","alg",IF(C8="Measurement","meas",IF(C8="Space","space",IF(C8="Statistics","stats",IF(C8="Probability","prob","UNK"))))))&amp;"_"&amp;D8&amp;"_"&amp;E8&amp;"_v2.html"</f>
        <v/>
      </c>
      <c r="G8" t="inlineStr">
        <is>
          <t>AC9M7N04</t>
        </is>
      </c>
      <c r="H8" t="inlineStr">
        <is>
          <t>3</t>
        </is>
      </c>
      <c r="I8" t="inlineStr">
        <is>
          <t>Strict</t>
        </is>
      </c>
      <c r="J8" t="inlineStr">
        <is>
          <t>Rational numbers can be represented in many equivalent ways</t>
        </is>
      </c>
      <c r="K8" t="inlineStr">
        <is>
          <t>Convert between fraction, decimal, percentage. Benchmark equivalences (¼, ½, ¾, ⅛, tenths).</t>
        </is>
      </c>
      <c r="L8" t="inlineStr">
        <is>
          <t>auto-marked</t>
        </is>
      </c>
      <c r="M8" t="inlineStr">
        <is>
          <t>y7_num_06</t>
        </is>
      </c>
      <c r="N8" t="inlineStr">
        <is>
          <t>Published</t>
        </is>
      </c>
      <c r="P8" t="inlineStr">
        <is>
          <t>https://seager94.github.io/year-7/number/y7_num_07_fractions_decimals_percentages_v2.html</t>
        </is>
      </c>
      <c r="Q8" t="inlineStr">
        <is>
          <t>Status reconciled from repo 2026-05-30 (generated date unconfirmed)</t>
        </is>
      </c>
    </row>
    <row r="9" ht="23.25" customHeight="1" s="1">
      <c r="A9" t="inlineStr">
        <is>
          <t>y7_num_08</t>
        </is>
      </c>
      <c r="B9" t="n">
        <v>7</v>
      </c>
      <c r="C9" t="inlineStr">
        <is>
          <t>Number</t>
        </is>
      </c>
      <c r="D9" t="inlineStr">
        <is>
          <t>08</t>
        </is>
      </c>
      <c r="E9" t="inlineStr">
        <is>
          <t>rationals_on_number_line</t>
        </is>
      </c>
      <c r="F9">
        <f>"y"&amp;B9&amp;"_"&amp;IF(C9="Number","num",IF(C9="Algebra","alg",IF(C9="Measurement","meas",IF(C9="Space","space",IF(C9="Statistics","stats",IF(C9="Probability","prob","UNK"))))))&amp;"_"&amp;D9&amp;"_"&amp;E9&amp;"_v2.html"</f>
        <v/>
      </c>
      <c r="G9" t="inlineStr">
        <is>
          <t>AC9M7N04</t>
        </is>
      </c>
      <c r="H9" t="inlineStr">
        <is>
          <t>4</t>
        </is>
      </c>
      <c r="I9" t="inlineStr">
        <is>
          <t>Strict</t>
        </is>
      </c>
      <c r="J9" t="inlineStr">
        <is>
          <t>Rational numbers can be represented in many equivalent ways</t>
        </is>
      </c>
      <c r="K9" t="inlineStr">
        <is>
          <t>Locate positive and negative fractions/mixed numerals on number line, including asymmetric intervals.</t>
        </is>
      </c>
      <c r="L9" t="inlineStr">
        <is>
          <t>auto-marked</t>
        </is>
      </c>
      <c r="M9" t="inlineStr">
        <is>
          <t>y7_num_06</t>
        </is>
      </c>
      <c r="N9" t="inlineStr">
        <is>
          <t>Published</t>
        </is>
      </c>
      <c r="P9" t="inlineStr">
        <is>
          <t>https://seager94.github.io/year-7/number/y7_num_08_rationals_on_number_line_v2.html</t>
        </is>
      </c>
      <c r="Q9" t="inlineStr">
        <is>
          <t>Status reconciled from repo 2026-05-30 (generated date unconfirmed)</t>
        </is>
      </c>
    </row>
    <row r="10" ht="23.25" customHeight="1" s="1">
      <c r="A10" t="inlineStr">
        <is>
          <t>y7_num_09</t>
        </is>
      </c>
      <c r="B10" t="n">
        <v>7</v>
      </c>
      <c r="C10" t="inlineStr">
        <is>
          <t>Number</t>
        </is>
      </c>
      <c r="D10" t="inlineStr">
        <is>
          <t>09</t>
        </is>
      </c>
      <c r="E10" t="inlineStr">
        <is>
          <t>rounding_and_reasonableness</t>
        </is>
      </c>
      <c r="F10">
        <f>"y"&amp;B10&amp;"_"&amp;IF(C10="Number","num",IF(C10="Algebra","alg",IF(C10="Measurement","meas",IF(C10="Space","space",IF(C10="Statistics","stats",IF(C10="Probability","prob","UNK"))))))&amp;"_"&amp;D10&amp;"_"&amp;E10&amp;"_v2.html"</f>
        <v/>
      </c>
      <c r="G10" t="inlineStr">
        <is>
          <t>AC9M7N05</t>
        </is>
      </c>
      <c r="H10" t="inlineStr">
        <is>
          <t>all</t>
        </is>
      </c>
      <c r="I10" t="inlineStr">
        <is>
          <t>Strict</t>
        </is>
      </c>
      <c r="J10" t="inlineStr">
        <is>
          <t>Rational numbers can be approximated to support judgements of magnitude and reasonableness</t>
        </is>
      </c>
      <c r="K10" t="inlineStr">
        <is>
          <t>Round decimals to specified accuracy; check reasonableness via estimation. Finance/renovation contexts.</t>
        </is>
      </c>
      <c r="L10" t="inlineStr">
        <is>
          <t>auto-marked</t>
        </is>
      </c>
      <c r="N10" t="inlineStr">
        <is>
          <t>Published</t>
        </is>
      </c>
      <c r="P10" t="inlineStr">
        <is>
          <t>https://seager94.github.io/year-7/number/y7_num_09_rounding_and_reasonableness_v2.html</t>
        </is>
      </c>
      <c r="Q10" t="inlineStr">
        <is>
          <t>Status reconciled from repo 2026-05-30 (generated date unconfirmed)</t>
        </is>
      </c>
    </row>
    <row r="11" ht="23.25" customHeight="1" s="1">
      <c r="A11" t="inlineStr">
        <is>
          <t>y7_num_10</t>
        </is>
      </c>
      <c r="B11" t="n">
        <v>7</v>
      </c>
      <c r="C11" t="inlineStr">
        <is>
          <t>Number</t>
        </is>
      </c>
      <c r="D11" t="inlineStr">
        <is>
          <t>10</t>
        </is>
      </c>
      <c r="E11" t="inlineStr">
        <is>
          <t>adding_subtracting_fractions</t>
        </is>
      </c>
      <c r="F11">
        <f>"y"&amp;B11&amp;"_"&amp;IF(C11="Number","num",IF(C11="Algebra","alg",IF(C11="Measurement","meas",IF(C11="Space","space",IF(C11="Statistics","stats",IF(C11="Probability","prob","UNK"))))))&amp;"_"&amp;D11&amp;"_"&amp;E11&amp;"_v2.html"</f>
        <v/>
      </c>
      <c r="G11" t="inlineStr">
        <is>
          <t>AC9M7N06</t>
        </is>
      </c>
      <c r="H11" t="inlineStr">
        <is>
          <t>1,5</t>
        </is>
      </c>
      <c r="I11" t="inlineStr">
        <is>
          <t>Strict</t>
        </is>
      </c>
      <c r="J11" t="inlineStr">
        <is>
          <t>The inverse relationships between addition and subtraction and multiplication and division can be used to add, subtract, multiply or divide rational numbers</t>
        </is>
      </c>
      <c r="K11" t="inlineStr">
        <is>
          <t>Add and subtract fractions and decimals using rectangular arrays, algebra tiles, partitioning.</t>
        </is>
      </c>
      <c r="L11" t="inlineStr">
        <is>
          <t>auto-marked</t>
        </is>
      </c>
      <c r="M11" t="inlineStr">
        <is>
          <t>y7_num_06</t>
        </is>
      </c>
      <c r="N11" t="inlineStr">
        <is>
          <t>Published</t>
        </is>
      </c>
      <c r="P11" t="inlineStr">
        <is>
          <t>https://seager94.github.io/year-7/number/y7_num_10_adding_subtracting_fractions_v2.html</t>
        </is>
      </c>
      <c r="Q11" t="inlineStr">
        <is>
          <t>Status reconciled from repo 2026-05-30 (generated date unconfirmed)</t>
        </is>
      </c>
    </row>
    <row r="12" ht="34.5" customHeight="1" s="1">
      <c r="A12" t="inlineStr">
        <is>
          <t>y7_num_11</t>
        </is>
      </c>
      <c r="B12" t="n">
        <v>7</v>
      </c>
      <c r="C12" t="inlineStr">
        <is>
          <t>Number</t>
        </is>
      </c>
      <c r="D12" t="inlineStr">
        <is>
          <t>11</t>
        </is>
      </c>
      <c r="E12" t="inlineStr">
        <is>
          <t>multiplying_dividing_fractions</t>
        </is>
      </c>
      <c r="F12">
        <f>"y"&amp;B12&amp;"_"&amp;IF(C12="Number","num",IF(C12="Algebra","alg",IF(C12="Measurement","meas",IF(C12="Space","space",IF(C12="Statistics","stats",IF(C12="Probability","prob","UNK"))))))&amp;"_"&amp;D12&amp;"_"&amp;E12&amp;"_v2.html"</f>
        <v/>
      </c>
      <c r="G12" t="inlineStr">
        <is>
          <t>AC9M7N06</t>
        </is>
      </c>
      <c r="H12" t="inlineStr">
        <is>
          <t>3,4</t>
        </is>
      </c>
      <c r="I12" t="inlineStr">
        <is>
          <t>Strict</t>
        </is>
      </c>
      <c r="J12" t="inlineStr">
        <is>
          <t>Multiplying a positive number by a number greater than 0 and less than 1 results in a smaller number</t>
        </is>
      </c>
      <c r="K12" t="inlineStr">
        <is>
          <t>Multiply and divide fractions and decimals. Conceptual models first (fraction walls, arrays), then procedure.</t>
        </is>
      </c>
      <c r="L12" t="inlineStr">
        <is>
          <t>auto-marked</t>
        </is>
      </c>
      <c r="M12" t="inlineStr">
        <is>
          <t>y7_num_06</t>
        </is>
      </c>
      <c r="N12" t="inlineStr">
        <is>
          <t>Published</t>
        </is>
      </c>
      <c r="P12" t="inlineStr">
        <is>
          <t>https://seager94.github.io/year-7/number/y7_num_11_multiplying_dividing_fractions_v2.html</t>
        </is>
      </c>
      <c r="Q12" t="inlineStr">
        <is>
          <t>Status reconciled from repo 2026-05-30 (generated date unconfirmed)</t>
        </is>
      </c>
    </row>
    <row r="13" ht="34.5" customHeight="1" s="1">
      <c r="A13" t="inlineStr">
        <is>
          <t>y7_num_12</t>
        </is>
      </c>
      <c r="B13" t="n">
        <v>7</v>
      </c>
      <c r="C13" t="inlineStr">
        <is>
          <t>Number</t>
        </is>
      </c>
      <c r="D13" t="inlineStr">
        <is>
          <t>12</t>
        </is>
      </c>
      <c r="E13" t="inlineStr">
        <is>
          <t>choosing_efficient_representations</t>
        </is>
      </c>
      <c r="F13">
        <f>"y"&amp;B13&amp;"_"&amp;IF(C13="Number","num",IF(C13="Algebra","alg",IF(C13="Measurement","meas",IF(C13="Space","space",IF(C13="Statistics","stats",IF(C13="Probability","prob","UNK"))))))&amp;"_"&amp;D13&amp;"_"&amp;E13&amp;"_v2.html"</f>
        <v/>
      </c>
      <c r="G13" t="inlineStr">
        <is>
          <t>AC9M7N06</t>
        </is>
      </c>
      <c r="H13" t="inlineStr">
        <is>
          <t>2,6</t>
        </is>
      </c>
      <c r="I13" t="inlineStr">
        <is>
          <t>Strict</t>
        </is>
      </c>
      <c r="J13" t="inlineStr">
        <is>
          <t>The inverse relationships between addition and subtraction and multiplication and division can be used to add, subtract, multiply or divide rational numbers</t>
        </is>
      </c>
      <c r="K13" t="inlineStr">
        <is>
          <t>Strategic choice between fraction, decimal, percentage forms for efficient calculation (e.g. 12.5% × 96 as ⅛ × 96).</t>
        </is>
      </c>
      <c r="L13" t="inlineStr">
        <is>
          <t>Option B: calc lesson with strategic I Do</t>
        </is>
      </c>
      <c r="M13" t="inlineStr">
        <is>
          <t>y7_num_07,y7_num_10,y7_num_11</t>
        </is>
      </c>
      <c r="N13" t="inlineStr">
        <is>
          <t>Published</t>
        </is>
      </c>
      <c r="P13" t="inlineStr">
        <is>
          <t>https://seager94.github.io/year-7/number/y7_num_12_choosing_efficient_representations_v2.html</t>
        </is>
      </c>
      <c r="Q13" t="inlineStr">
        <is>
          <t>Status reconciled from repo 2026-05-30 (generated date unconfirmed)</t>
        </is>
      </c>
    </row>
    <row r="14" ht="45.75" customHeight="1" s="1">
      <c r="A14" t="inlineStr">
        <is>
          <t>y7_num_13</t>
        </is>
      </c>
      <c r="B14" t="n">
        <v>7</v>
      </c>
      <c r="C14" t="inlineStr">
        <is>
          <t>Number</t>
        </is>
      </c>
      <c r="D14" t="inlineStr">
        <is>
          <t>13</t>
        </is>
      </c>
      <c r="E14" t="inlineStr">
        <is>
          <t>percentage_of_a_quantity</t>
        </is>
      </c>
      <c r="F14">
        <f>"y"&amp;B14&amp;"_"&amp;IF(C14="Number","num",IF(C14="Algebra","alg",IF(C14="Measurement","meas",IF(C14="Space","space",IF(C14="Statistics","stats",IF(C14="Probability","prob","UNK"))))))&amp;"_"&amp;D14&amp;"_"&amp;E14&amp;"_v2.html"</f>
        <v/>
      </c>
      <c r="G14" t="inlineStr">
        <is>
          <t>AC9M7N06</t>
        </is>
      </c>
      <c r="H14" t="inlineStr">
        <is>
          <t>—</t>
        </is>
      </c>
      <c r="I14" t="inlineStr">
        <is>
          <t>Implied</t>
        </is>
      </c>
      <c r="J14" t="inlineStr">
        <is>
          <t>The inverse relationships between addition and subtraction and multiplication and division can be used to add, subtract, multiply or divide rational numbers</t>
        </is>
      </c>
      <c r="K14" t="inlineStr">
        <is>
          <t>Find a percentage of a quantity (e.g. 15% of $80). Foundational for N09 modelling.</t>
        </is>
      </c>
      <c r="L14" t="inlineStr">
        <is>
          <t>auto-marked</t>
        </is>
      </c>
      <c r="M14" t="inlineStr">
        <is>
          <t>y7_num_07</t>
        </is>
      </c>
      <c r="N14" t="inlineStr">
        <is>
          <t>Published</t>
        </is>
      </c>
      <c r="P14" t="inlineStr">
        <is>
          <t>https://seager94.github.io/year-7/number/y7_num_13_percentage_of_a_quantity_v2.html</t>
        </is>
      </c>
      <c r="Q14" t="inlineStr">
        <is>
          <t>Status reconciled from repo 2026-05-30 (generated date unconfirmed)</t>
        </is>
      </c>
    </row>
    <row r="15" ht="23.25" customHeight="1" s="1">
      <c r="A15" t="inlineStr">
        <is>
          <t>y7_num_14</t>
        </is>
      </c>
      <c r="B15" t="n">
        <v>7</v>
      </c>
      <c r="C15" t="inlineStr">
        <is>
          <t>Number</t>
        </is>
      </c>
      <c r="D15" t="inlineStr">
        <is>
          <t>14</t>
        </is>
      </c>
      <c r="E15" t="inlineStr">
        <is>
          <t>comparing_ordering_integers</t>
        </is>
      </c>
      <c r="F15">
        <f>"y"&amp;B15&amp;"_"&amp;IF(C15="Number","num",IF(C15="Algebra","alg",IF(C15="Measurement","meas",IF(C15="Space","space",IF(C15="Statistics","stats",IF(C15="Probability","prob","UNK"))))))&amp;"_"&amp;D15&amp;"_"&amp;E15&amp;"_v2.html"</f>
        <v/>
      </c>
      <c r="G15" t="inlineStr">
        <is>
          <t>AC9M7N07</t>
        </is>
      </c>
      <c r="H15" t="inlineStr">
        <is>
          <t>1,2</t>
        </is>
      </c>
      <c r="I15" t="inlineStr">
        <is>
          <t>Strict</t>
        </is>
      </c>
      <c r="J15" t="inlineStr">
        <is>
          <t>The inverse relationships between addition and subtraction and multiplication and division can be used to add, subtract, multiply or divide rational numbers</t>
        </is>
      </c>
      <c r="K15" t="inlineStr">
        <is>
          <t>&lt; and &gt; with positive/negative integers; language work (magnitude, difference, sign); ordering on number line.</t>
        </is>
      </c>
      <c r="L15" t="inlineStr">
        <is>
          <t>auto-marked</t>
        </is>
      </c>
      <c r="M15" t="inlineStr">
        <is>
          <t>y7_num_08</t>
        </is>
      </c>
      <c r="N15" t="inlineStr">
        <is>
          <t>Published</t>
        </is>
      </c>
      <c r="P15" t="inlineStr">
        <is>
          <t>https://seager94.github.io/year-7/number/y7_num_14_comparing_ordering_integers_v2.html</t>
        </is>
      </c>
      <c r="Q15" t="inlineStr">
        <is>
          <t>Status reconciled from repo 2026-05-30 (generated date unconfirmed)</t>
        </is>
      </c>
    </row>
    <row r="16" ht="34.5" customHeight="1" s="1">
      <c r="A16" t="inlineStr">
        <is>
          <t>y7_num_15</t>
        </is>
      </c>
      <c r="B16" t="n">
        <v>7</v>
      </c>
      <c r="C16" t="inlineStr">
        <is>
          <t>Number</t>
        </is>
      </c>
      <c r="D16" t="inlineStr">
        <is>
          <t>15</t>
        </is>
      </c>
      <c r="E16" t="inlineStr">
        <is>
          <t>adding_subtracting_integers</t>
        </is>
      </c>
      <c r="F16">
        <f>"y"&amp;B16&amp;"_"&amp;IF(C16="Number","num",IF(C16="Algebra","alg",IF(C16="Measurement","meas",IF(C16="Space","space",IF(C16="Statistics","stats",IF(C16="Probability","prob","UNK"))))))&amp;"_"&amp;D16&amp;"_"&amp;E16&amp;"_v2.html"</f>
        <v/>
      </c>
      <c r="G16" t="inlineStr">
        <is>
          <t>AC9M7N07, AC9M7N09</t>
        </is>
      </c>
      <c r="H16" t="inlineStr">
        <is>
          <t>3 (N07); 1 (N09)</t>
        </is>
      </c>
      <c r="I16" t="inlineStr">
        <is>
          <t>Strict + cross-tag</t>
        </is>
      </c>
      <c r="J16" t="inlineStr">
        <is>
          <t>The inverse relationships between addition and subtraction and multiplication and division can be used to add, subtract, multiply or divide rational numbers</t>
        </is>
      </c>
      <c r="K16" t="inlineStr">
        <is>
          <t>Add and subtract integers using number-line model; apply to lifts/altitude/sea-level modelling.</t>
        </is>
      </c>
      <c r="L16" t="inlineStr">
        <is>
          <t>auto-marked</t>
        </is>
      </c>
      <c r="M16" t="inlineStr">
        <is>
          <t>y7_num_14</t>
        </is>
      </c>
      <c r="N16" t="inlineStr">
        <is>
          <t>Published</t>
        </is>
      </c>
      <c r="P16" t="inlineStr">
        <is>
          <t>https://seager94.github.io/year-7/number/y7_num_15_adding_subtracting_integers_v2.html</t>
        </is>
      </c>
      <c r="Q16" t="inlineStr">
        <is>
          <t>Status reconciled from repo 2026-05-30 (generated date unconfirmed)</t>
        </is>
      </c>
    </row>
    <row r="17" ht="23.25" customHeight="1" s="1">
      <c r="A17" t="inlineStr">
        <is>
          <t>y7_num_16</t>
        </is>
      </c>
      <c r="B17" t="n">
        <v>7</v>
      </c>
      <c r="C17" t="inlineStr">
        <is>
          <t>Number</t>
        </is>
      </c>
      <c r="D17" t="inlineStr">
        <is>
          <t>16</t>
        </is>
      </c>
      <c r="E17" t="inlineStr">
        <is>
          <t>representing_ratios</t>
        </is>
      </c>
      <c r="F17">
        <f>"y"&amp;B17&amp;"_"&amp;IF(C17="Number","num",IF(C17="Algebra","alg",IF(C17="Measurement","meas",IF(C17="Space","space",IF(C17="Statistics","stats",IF(C17="Probability","prob","UNK"))))))&amp;"_"&amp;D17&amp;"_"&amp;E17&amp;"_v2.html"</f>
        <v/>
      </c>
      <c r="G17" t="inlineStr">
        <is>
          <t>AC9M7N08</t>
        </is>
      </c>
      <c r="H17" t="inlineStr">
        <is>
          <t>1,2</t>
        </is>
      </c>
      <c r="I17" t="inlineStr">
        <is>
          <t>Strict</t>
        </is>
      </c>
      <c r="J17" t="inlineStr">
        <is>
          <t>Fractions, percentages, ratios and rates are different ways of representing a proportional relationship between quantities</t>
        </is>
      </c>
      <c r="K17" t="inlineStr">
        <is>
          <t>Ratios as quantitative comparison of groups; part-part vs part-whole; connection to fractions.</t>
        </is>
      </c>
      <c r="L17" t="inlineStr">
        <is>
          <t>auto-marked</t>
        </is>
      </c>
      <c r="M17" t="inlineStr">
        <is>
          <t>y7_num_06</t>
        </is>
      </c>
      <c r="N17" t="inlineStr">
        <is>
          <t>Published</t>
        </is>
      </c>
      <c r="P17" t="inlineStr">
        <is>
          <t>https://seager94.github.io/year-7/number/y7_num_16_representing_ratios_v2.html</t>
        </is>
      </c>
      <c r="Q17" t="inlineStr">
        <is>
          <t>Status reconciled from repo 2026-05-30 (generated date unconfirmed)</t>
        </is>
      </c>
    </row>
    <row r="18" ht="23.25" customHeight="1" s="1">
      <c r="A18" t="inlineStr">
        <is>
          <t>y7_num_17</t>
        </is>
      </c>
      <c r="B18" t="n">
        <v>7</v>
      </c>
      <c r="C18" t="inlineStr">
        <is>
          <t>Number</t>
        </is>
      </c>
      <c r="D18" t="inlineStr">
        <is>
          <t>17</t>
        </is>
      </c>
      <c r="E18" t="inlineStr">
        <is>
          <t>sharing_in_a_ratio</t>
        </is>
      </c>
      <c r="F18">
        <f>"y"&amp;B18&amp;"_"&amp;IF(C18="Number","num",IF(C18="Algebra","alg",IF(C18="Measurement","meas",IF(C18="Space","space",IF(C18="Statistics","stats",IF(C18="Probability","prob","UNK"))))))&amp;"_"&amp;D18&amp;"_"&amp;E18&amp;"_v2.html"</f>
        <v/>
      </c>
      <c r="G18" t="inlineStr">
        <is>
          <t>AC9M7N08</t>
        </is>
      </c>
      <c r="H18" t="inlineStr">
        <is>
          <t>3,4</t>
        </is>
      </c>
      <c r="I18" t="inlineStr">
        <is>
          <t>Strict</t>
        </is>
      </c>
      <c r="J18" t="inlineStr">
        <is>
          <t>Fractions, percentages, ratios and rates are different ways of representing a proportional relationship between quantities</t>
        </is>
      </c>
      <c r="K18" t="inlineStr">
        <is>
          <t>Divide a quantity in a given ratio. Applied contexts: money, mixtures, concentrations.</t>
        </is>
      </c>
      <c r="L18" t="inlineStr">
        <is>
          <t>auto-marked</t>
        </is>
      </c>
      <c r="M18" t="inlineStr">
        <is>
          <t>y7_num_16</t>
        </is>
      </c>
      <c r="N18" t="inlineStr">
        <is>
          <t>Published</t>
        </is>
      </c>
      <c r="P18" t="inlineStr">
        <is>
          <t>https://seager94.github.io/year-7/number/y7_num_17_sharing_in_a_ratio_v2.html</t>
        </is>
      </c>
      <c r="Q18" t="inlineStr">
        <is>
          <t>Status reconciled from repo 2026-05-30 (generated date unconfirmed)</t>
        </is>
      </c>
    </row>
    <row r="19" ht="23.25" customHeight="1" s="1">
      <c r="A19" t="inlineStr">
        <is>
          <t>y7_num_18</t>
        </is>
      </c>
      <c r="B19" t="n">
        <v>7</v>
      </c>
      <c r="C19" t="inlineStr">
        <is>
          <t>Number</t>
        </is>
      </c>
      <c r="D19" t="inlineStr">
        <is>
          <t>18</t>
        </is>
      </c>
      <c r="E19" t="inlineStr">
        <is>
          <t>modelling_with_proportion</t>
        </is>
      </c>
      <c r="F19">
        <f>"y"&amp;B19&amp;"_"&amp;IF(C19="Number","num",IF(C19="Algebra","alg",IF(C19="Measurement","meas",IF(C19="Space","space",IF(C19="Statistics","stats",IF(C19="Probability","prob","UNK"))))))&amp;"_"&amp;D19&amp;"_"&amp;E19&amp;"_v2.html"</f>
        <v/>
      </c>
      <c r="G19" t="inlineStr">
        <is>
          <t>AC9M7N09</t>
        </is>
      </c>
      <c r="H19" t="inlineStr">
        <is>
          <t>2,4</t>
        </is>
      </c>
      <c r="I19" t="inlineStr">
        <is>
          <t>Strict</t>
        </is>
      </c>
      <c r="J19" t="inlineStr">
        <is>
          <t>Mathematical modelling can be used to represent and analyse financial and other real-world situations and support informed decision-making</t>
        </is>
      </c>
      <c r="K19" t="inlineStr">
        <is>
          <t>Modelling proportional contexts: attendance, voting, land use. Includes First Nations grain-belt comparison.</t>
        </is>
      </c>
      <c r="L19" t="inlineStr">
        <is>
          <t>auto-marked + open-ended</t>
        </is>
      </c>
      <c r="M19" t="inlineStr">
        <is>
          <t>y7_num_13,y7_num_16</t>
        </is>
      </c>
      <c r="N19" t="inlineStr">
        <is>
          <t>Published</t>
        </is>
      </c>
      <c r="P19" t="inlineStr">
        <is>
          <t>https://seager94.github.io/year-7/number/y7_num_18_modelling_with_proportion_v2.html</t>
        </is>
      </c>
      <c r="Q19" t="inlineStr">
        <is>
          <t>Status reconciled from repo 2026-05-30 (generated date unconfirmed)</t>
        </is>
      </c>
    </row>
    <row r="20" ht="15" customHeight="1" s="1">
      <c r="A20" t="inlineStr">
        <is>
          <t>y7_num_19</t>
        </is>
      </c>
      <c r="B20" t="n">
        <v>7</v>
      </c>
      <c r="C20" t="inlineStr">
        <is>
          <t>Number</t>
        </is>
      </c>
      <c r="D20" t="inlineStr">
        <is>
          <t>19</t>
        </is>
      </c>
      <c r="E20" t="inlineStr">
        <is>
          <t>modelling_profit_and_loss</t>
        </is>
      </c>
      <c r="F20">
        <f>"y"&amp;B20&amp;"_"&amp;IF(C20="Number","num",IF(C20="Algebra","alg",IF(C20="Measurement","meas",IF(C20="Space","space",IF(C20="Statistics","stats",IF(C20="Probability","prob","UNK"))))))&amp;"_"&amp;D20&amp;"_"&amp;E20&amp;"_v2.html"</f>
        <v/>
      </c>
      <c r="G20" t="inlineStr">
        <is>
          <t>AC9M7N09</t>
        </is>
      </c>
      <c r="H20" t="inlineStr">
        <is>
          <t>3</t>
        </is>
      </c>
      <c r="I20" t="inlineStr">
        <is>
          <t>Strict</t>
        </is>
      </c>
      <c r="J20" t="inlineStr">
        <is>
          <t>Mathematical modelling can be used to represent and analyse financial and other real-world situations and support informed decision-making</t>
        </is>
      </c>
      <c r="K20" t="inlineStr">
        <is>
          <t>Financial modelling: profit/loss/% profit on fundraiser scenarios.</t>
        </is>
      </c>
      <c r="L20" t="inlineStr">
        <is>
          <t>auto-marked + open-ended</t>
        </is>
      </c>
      <c r="M20" t="inlineStr">
        <is>
          <t>y7_num_13</t>
        </is>
      </c>
      <c r="N20" t="inlineStr">
        <is>
          <t>Published</t>
        </is>
      </c>
      <c r="P20" t="inlineStr">
        <is>
          <t>https://seager94.github.io/year-7/number/y7_num_19_modelling_profit_and_loss_v2.html</t>
        </is>
      </c>
      <c r="Q20" t="inlineStr">
        <is>
          <t>Status reconciled from repo 2026-05-30 (generated date unconfirmed)</t>
        </is>
      </c>
    </row>
    <row r="21" ht="15" customHeight="1" s="1">
      <c r="A21" t="inlineStr">
        <is>
          <t>y7_alg_01</t>
        </is>
      </c>
      <c r="B21" t="n">
        <v>7</v>
      </c>
      <c r="C21" t="inlineStr">
        <is>
          <t>Algebra</t>
        </is>
      </c>
      <c r="D21" t="inlineStr">
        <is>
          <t>01</t>
        </is>
      </c>
      <c r="E21" t="inlineStr">
        <is>
          <t>variables_and_algebraic_notation</t>
        </is>
      </c>
      <c r="F21" t="inlineStr">
        <is>
          <t>y7_alg_01_variables_and_algebraic_notation_v2.html</t>
        </is>
      </c>
      <c r="G21" t="inlineStr">
        <is>
          <t>AC9M7A02</t>
        </is>
      </c>
      <c r="H21" t="inlineStr">
        <is>
          <t>1</t>
        </is>
      </c>
      <c r="I21" t="inlineStr">
        <is>
          <t>Strict</t>
        </is>
      </c>
      <c r="J21" t="inlineStr">
        <is>
          <t>Algebraic expressions can be represented in infinitely many different but equivalent ways</t>
        </is>
      </c>
      <c r="K21" t="inlineStr">
        <is>
          <t>Introduce variable as a letter representing a number; notation conventions (3x = 3×x, no × symbol); distinguish 3x+4 from 3(x+4); generalise from arithmetic patterns like 7+7+7 = 3×7.</t>
        </is>
      </c>
      <c r="L21" t="inlineStr">
        <is>
          <t>auto-marked</t>
        </is>
      </c>
      <c r="N21" t="inlineStr">
        <is>
          <t>Published</t>
        </is>
      </c>
      <c r="O21" t="inlineStr">
        <is>
          <t>2026-05-20</t>
        </is>
      </c>
      <c r="P21" t="inlineStr">
        <is>
          <t>https://seager94.github.io/year-7/algebra/y7_alg_01_variables_and_algebraic_notation_v2.html</t>
        </is>
      </c>
      <c r="Q21" t="inlineStr">
        <is>
          <t>Watershed — foundation for the whole strand.</t>
        </is>
      </c>
    </row>
    <row r="22" ht="15" customHeight="1" s="1">
      <c r="A22" t="inlineStr">
        <is>
          <t>y7_alg_02</t>
        </is>
      </c>
      <c r="B22" t="n">
        <v>7</v>
      </c>
      <c r="C22" t="inlineStr">
        <is>
          <t>Algebra</t>
        </is>
      </c>
      <c r="D22" t="inlineStr">
        <is>
          <t>02</t>
        </is>
      </c>
      <c r="E22" t="inlineStr">
        <is>
          <t>translating_words_to_expressions</t>
        </is>
      </c>
      <c r="F22" t="inlineStr">
        <is>
          <t>y7_alg_02_translating_words_to_expressions_v2.html</t>
        </is>
      </c>
      <c r="G22" t="inlineStr">
        <is>
          <t>AC9M7A02</t>
        </is>
      </c>
      <c r="H22" t="inlineStr">
        <is>
          <t>2</t>
        </is>
      </c>
      <c r="I22" t="inlineStr">
        <is>
          <t>Strict</t>
        </is>
      </c>
      <c r="J22" t="inlineStr">
        <is>
          <t>Algebraic expressions can be represented in infinitely many different but equivalent ways</t>
        </is>
      </c>
      <c r="K22" t="inlineStr">
        <is>
          <t>Translate worded statements into algebraic expressions; 'think of a number' puzzles; vocab work.</t>
        </is>
      </c>
      <c r="L22" t="inlineStr">
        <is>
          <t>auto-marked</t>
        </is>
      </c>
      <c r="M22" t="inlineStr">
        <is>
          <t>y7_alg_01</t>
        </is>
      </c>
      <c r="N22" t="inlineStr">
        <is>
          <t>Published</t>
        </is>
      </c>
      <c r="O22" t="inlineStr">
        <is>
          <t>2026-05-20</t>
        </is>
      </c>
      <c r="P22" t="inlineStr">
        <is>
          <t>https://seager94.github.io/year-7/algebra/y7_alg_02_translating_words_to_expressions_v2.html</t>
        </is>
      </c>
      <c r="Q22" t="inlineStr">
        <is>
          <t>Misconception: '5 less than n' is n-5, not 5-n. Error Analysis block.</t>
        </is>
      </c>
    </row>
    <row r="23" ht="15" customHeight="1" s="1">
      <c r="A23" t="inlineStr">
        <is>
          <t>y7_alg_03</t>
        </is>
      </c>
      <c r="B23" t="n">
        <v>7</v>
      </c>
      <c r="C23" t="inlineStr">
        <is>
          <t>Algebra</t>
        </is>
      </c>
      <c r="D23" t="inlineStr">
        <is>
          <t>03</t>
        </is>
      </c>
      <c r="E23" t="inlineStr">
        <is>
          <t>substituting_into_expressions</t>
        </is>
      </c>
      <c r="F23" t="inlineStr">
        <is>
          <t>y7_alg_03_substituting_into_expressions_v2.html</t>
        </is>
      </c>
      <c r="G23" t="inlineStr">
        <is>
          <t>AC9M7A01</t>
        </is>
      </c>
      <c r="H23" t="inlineStr">
        <is>
          <t>3 (partial)</t>
        </is>
      </c>
      <c r="I23" t="inlineStr">
        <is>
          <t>Strict</t>
        </is>
      </c>
      <c r="J23" t="inlineStr">
        <is>
          <t>Patterns and relationships between variables can be described algebraically and graphed to solve problems and support inferences</t>
        </is>
      </c>
      <c r="K23" t="inlineStr">
        <is>
          <t>Evaluate single- and multi-variable expressions; emphasis on order of operations and negative substitutions.</t>
        </is>
      </c>
      <c r="L23" t="inlineStr">
        <is>
          <t>auto-marked</t>
        </is>
      </c>
      <c r="M23" t="inlineStr">
        <is>
          <t>y7_alg_01</t>
        </is>
      </c>
      <c r="N23" t="inlineStr">
        <is>
          <t>Published</t>
        </is>
      </c>
      <c r="O23" t="inlineStr">
        <is>
          <t>2026-05-20</t>
        </is>
      </c>
      <c r="P23" t="inlineStr">
        <is>
          <t>https://seager94.github.io/year-7/algebra/y7_alg_03_substituting_into_expressions_v2.html</t>
        </is>
      </c>
      <c r="Q23" t="inlineStr">
        <is>
          <t>Order-of-ops: 3x² where x=4 gives 48, not 144.</t>
        </is>
      </c>
    </row>
    <row r="24" ht="15" customHeight="1" s="1">
      <c r="A24" t="inlineStr">
        <is>
          <t>y7_alg_04</t>
        </is>
      </c>
      <c r="B24" t="n">
        <v>7</v>
      </c>
      <c r="C24" t="inlineStr">
        <is>
          <t>Algebra</t>
        </is>
      </c>
      <c r="D24" t="inlineStr">
        <is>
          <t>04</t>
        </is>
      </c>
      <c r="E24" t="inlineStr">
        <is>
          <t>substituting_into_everyday_formulas</t>
        </is>
      </c>
      <c r="F24" t="inlineStr">
        <is>
          <t>y7_alg_04_substituting_into_everyday_formulas_v2.html</t>
        </is>
      </c>
      <c r="G24" t="inlineStr">
        <is>
          <t>AC9M7A01</t>
        </is>
      </c>
      <c r="H24" t="inlineStr">
        <is>
          <t>1, 2, 3</t>
        </is>
      </c>
      <c r="I24" t="inlineStr">
        <is>
          <t>Strict</t>
        </is>
      </c>
      <c r="J24" t="inlineStr">
        <is>
          <t>Patterns and relationships between variables can be described algebraically and graphed to solve problems and support inferences</t>
        </is>
      </c>
      <c r="K24" t="inlineStr">
        <is>
          <t>Substitute into A=l×w, AFL p=6g+b, target heart rate, wages W=b+1.5hr, density d=m/v.</t>
        </is>
      </c>
      <c r="L24" t="inlineStr">
        <is>
          <t>auto-marked</t>
        </is>
      </c>
      <c r="M24" t="inlineStr">
        <is>
          <t>y7_alg_03</t>
        </is>
      </c>
      <c r="N24" t="inlineStr">
        <is>
          <t>Published</t>
        </is>
      </c>
      <c r="O24" t="inlineStr">
        <is>
          <t>2026-05-20</t>
        </is>
      </c>
      <c r="P24" t="inlineStr">
        <is>
          <t>https://seager94.github.io/year-7/algebra/y7_alg_04_substituting_into_everyday_formulas_v2.html</t>
        </is>
      </c>
      <c r="Q24" t="inlineStr">
        <is>
          <t>Watershed. Wages-with-overtime and density carried as Stretch.</t>
        </is>
      </c>
    </row>
    <row r="25" ht="15" customHeight="1" s="1">
      <c r="A25" t="inlineStr">
        <is>
          <t>y7_alg_05</t>
        </is>
      </c>
      <c r="B25" t="n">
        <v>7</v>
      </c>
      <c r="C25" t="inlineStr">
        <is>
          <t>Algebra</t>
        </is>
      </c>
      <c r="D25" t="inlineStr">
        <is>
          <t>05</t>
        </is>
      </c>
      <c r="E25" t="inlineStr">
        <is>
          <t>collecting_like_terms</t>
        </is>
      </c>
      <c r="F25" t="inlineStr">
        <is>
          <t>y7_alg_05_collecting_like_terms_v2.html</t>
        </is>
      </c>
      <c r="G25" t="inlineStr">
        <is>
          <t>AC9M7A02</t>
        </is>
      </c>
      <c r="H25" t="inlineStr">
        <is>
          <t>1, 3</t>
        </is>
      </c>
      <c r="I25" t="inlineStr">
        <is>
          <t>Strict</t>
        </is>
      </c>
      <c r="J25" t="inlineStr">
        <is>
          <t>The commutative and associative properties apply to addition and multiplication, but not to subtraction and division</t>
        </is>
      </c>
      <c r="K25" t="inlineStr">
        <is>
          <t>Identify like terms; combine using commutative/associative properties; algebra-tile visuals; distinguish x and x² as different objects.</t>
        </is>
      </c>
      <c r="L25" t="inlineStr">
        <is>
          <t>auto-marked</t>
        </is>
      </c>
      <c r="M25" t="inlineStr">
        <is>
          <t>y7_alg_01</t>
        </is>
      </c>
      <c r="N25" t="inlineStr">
        <is>
          <t>Published</t>
        </is>
      </c>
      <c r="O25" t="inlineStr">
        <is>
          <t>2026-05-20</t>
        </is>
      </c>
      <c r="P25" t="inlineStr">
        <is>
          <t>https://seager94.github.io/year-7/algebra/y7_alg_05_collecting_like_terms_v2.html</t>
        </is>
      </c>
      <c r="Q25" t="inlineStr">
        <is>
          <t>Watershed. Misconception: 3x + 2 = 5x. Error Analysis.</t>
        </is>
      </c>
    </row>
    <row r="26" ht="15" customHeight="1" s="1">
      <c r="A26" t="inlineStr">
        <is>
          <t>y7_alg_06</t>
        </is>
      </c>
      <c r="B26" t="n">
        <v>7</v>
      </c>
      <c r="C26" t="inlineStr">
        <is>
          <t>Algebra</t>
        </is>
      </c>
      <c r="D26" t="inlineStr">
        <is>
          <t>06</t>
        </is>
      </c>
      <c r="E26" t="inlineStr">
        <is>
          <t>distributive_law_expanding_brackets</t>
        </is>
      </c>
      <c r="F26" t="inlineStr">
        <is>
          <t>y7_alg_06_distributive_law_expanding_brackets_v2.html</t>
        </is>
      </c>
      <c r="G26" t="inlineStr">
        <is>
          <t>AC9M7A02</t>
        </is>
      </c>
      <c r="H26" t="inlineStr">
        <is>
          <t>1, 3</t>
        </is>
      </c>
      <c r="I26" t="inlineStr">
        <is>
          <t>Strict</t>
        </is>
      </c>
      <c r="J26" t="inlineStr">
        <is>
          <t>The distributive property of multiplication over addition and subtraction can be used to support efficient calculation</t>
        </is>
      </c>
      <c r="K26" t="inlineStr">
        <is>
          <t>Expand single brackets; area-model visualisation first; 3(x+4) = 3x+12; efficient arithmetic via 7×98 = 7(100−2).</t>
        </is>
      </c>
      <c r="L26" t="inlineStr">
        <is>
          <t>auto-marked</t>
        </is>
      </c>
      <c r="M26" t="inlineStr">
        <is>
          <t>y7_alg_05</t>
        </is>
      </c>
      <c r="N26" t="inlineStr">
        <is>
          <t>Published</t>
        </is>
      </c>
      <c r="O26" t="inlineStr">
        <is>
          <t>2026-05-20</t>
        </is>
      </c>
      <c r="P26" t="inlineStr">
        <is>
          <t>https://seager94.github.io/year-7/algebra/y7_alg_06_distributive_law_expanding_brackets_v2.html</t>
        </is>
      </c>
      <c r="Q26" t="inlineStr">
        <is>
          <t>Watershed. Builds toward Y8 binomials.</t>
        </is>
      </c>
    </row>
    <row r="27" ht="15" customHeight="1" s="1">
      <c r="A27" t="inlineStr">
        <is>
          <t>y7_alg_07</t>
        </is>
      </c>
      <c r="B27" t="n">
        <v>7</v>
      </c>
      <c r="C27" t="inlineStr">
        <is>
          <t>Algebra</t>
        </is>
      </c>
      <c r="D27" t="inlineStr">
        <is>
          <t>07</t>
        </is>
      </c>
      <c r="E27" t="inlineStr">
        <is>
          <t>meaning_of_solving_an_equation</t>
        </is>
      </c>
      <c r="F27" t="inlineStr">
        <is>
          <t>y7_alg_07_meaning_of_solving_an_equation_v2.html</t>
        </is>
      </c>
      <c r="G27" t="inlineStr">
        <is>
          <t>AC9M7A03</t>
        </is>
      </c>
      <c r="H27" t="inlineStr">
        <is>
          <t>1</t>
        </is>
      </c>
      <c r="I27" t="inlineStr">
        <is>
          <t>Strict</t>
        </is>
      </c>
      <c r="J27" t="inlineStr">
        <is>
          <t>Patterns and relationships between variables can be described algebraically and graphed to solve problems and support inferences</t>
        </is>
      </c>
      <c r="K27" t="inlineStr">
        <is>
          <t>Equation as truth statement; solving = finding the value that makes it true; verify candidate solutions by substitution.</t>
        </is>
      </c>
      <c r="L27" t="inlineStr">
        <is>
          <t>auto-marked</t>
        </is>
      </c>
      <c r="M27" t="inlineStr">
        <is>
          <t>y7_alg_03</t>
        </is>
      </c>
      <c r="N27" t="inlineStr">
        <is>
          <t>Published</t>
        </is>
      </c>
      <c r="O27" t="inlineStr">
        <is>
          <t>2026-05-20</t>
        </is>
      </c>
      <c r="P27" t="inlineStr">
        <is>
          <t>https://seager94.github.io/year-7/algebra/y7_alg_07_meaning_of_solving_an_equation_v2.html</t>
        </is>
      </c>
      <c r="Q27" t="inlineStr">
        <is>
          <t>Practice is 'is x=4 a solution to…?' not 'solve for x'.</t>
        </is>
      </c>
    </row>
    <row r="28" ht="15" customHeight="1" s="1">
      <c r="A28" t="inlineStr">
        <is>
          <t>y7_alg_08</t>
        </is>
      </c>
      <c r="B28" t="n">
        <v>7</v>
      </c>
      <c r="C28" t="inlineStr">
        <is>
          <t>Algebra</t>
        </is>
      </c>
      <c r="D28" t="inlineStr">
        <is>
          <t>08</t>
        </is>
      </c>
      <c r="E28" t="inlineStr">
        <is>
          <t>solving_by_backtracking_and_balance</t>
        </is>
      </c>
      <c r="F28" t="inlineStr">
        <is>
          <t>y7_alg_08_solving_by_backtracking_and_balance_v2.html</t>
        </is>
      </c>
      <c r="G28" t="inlineStr">
        <is>
          <t>AC9M7A03</t>
        </is>
      </c>
      <c r="H28" t="inlineStr">
        <is>
          <t>2</t>
        </is>
      </c>
      <c r="I28" t="inlineStr">
        <is>
          <t>Strict</t>
        </is>
      </c>
      <c r="J28" t="inlineStr">
        <is>
          <t>Patterns and relationships between variables can be described algebraically and graphed to solve problems and support inferences</t>
        </is>
      </c>
      <c r="K28" t="inlineStr">
        <is>
          <t>Function-machine backtracking and balance-scale models; step-by-step reasoning before going algebraic.</t>
        </is>
      </c>
      <c r="L28" t="inlineStr">
        <is>
          <t>auto-marked</t>
        </is>
      </c>
      <c r="M28" t="inlineStr">
        <is>
          <t>y7_alg_07</t>
        </is>
      </c>
      <c r="N28" t="inlineStr">
        <is>
          <t>Published</t>
        </is>
      </c>
      <c r="O28" t="inlineStr">
        <is>
          <t>2026-05-20</t>
        </is>
      </c>
      <c r="P28" t="inlineStr">
        <is>
          <t>https://seager94.github.io/year-7/algebra/y7_alg_08_solving_by_backtracking_and_balance_v2.html</t>
        </is>
      </c>
      <c r="Q28" t="inlineStr">
        <is>
          <t>Concrete-pictorial before algebraic in L09.</t>
        </is>
      </c>
    </row>
    <row r="29" ht="15" customHeight="1" s="1">
      <c r="A29" t="inlineStr">
        <is>
          <t>y7_alg_09</t>
        </is>
      </c>
      <c r="B29" t="n">
        <v>7</v>
      </c>
      <c r="C29" t="inlineStr">
        <is>
          <t>Algebra</t>
        </is>
      </c>
      <c r="D29" t="inlineStr">
        <is>
          <t>09</t>
        </is>
      </c>
      <c r="E29" t="inlineStr">
        <is>
          <t>solving_linear_equations_algebraically</t>
        </is>
      </c>
      <c r="F29" t="inlineStr">
        <is>
          <t>y7_alg_09_solving_linear_equations_algebraically_v2.html</t>
        </is>
      </c>
      <c r="G29" t="inlineStr">
        <is>
          <t>AC9M7A03</t>
        </is>
      </c>
      <c r="H29" t="inlineStr">
        <is>
          <t>3</t>
        </is>
      </c>
      <c r="I29" t="inlineStr">
        <is>
          <t>Strict</t>
        </is>
      </c>
      <c r="J29" t="inlineStr">
        <is>
          <t>Patterns and relationships between variables can be described algebraically and graphed to solve problems and support inferences</t>
        </is>
      </c>
      <c r="K29" t="inlineStr">
        <is>
          <t>Solve ax+b=c algebraically using inverse operations; verify every solution by substitution.</t>
        </is>
      </c>
      <c r="L29" t="inlineStr">
        <is>
          <t>auto-marked</t>
        </is>
      </c>
      <c r="M29" t="inlineStr">
        <is>
          <t>y7_alg_08</t>
        </is>
      </c>
      <c r="N29" t="inlineStr">
        <is>
          <t>Published</t>
        </is>
      </c>
      <c r="O29" t="inlineStr">
        <is>
          <t>2026-05-20</t>
        </is>
      </c>
      <c r="P29" t="inlineStr">
        <is>
          <t>https://seager94.github.io/year-7/algebra/y7_alg_09_solving_linear_equations_algebraically_v2.html</t>
        </is>
      </c>
      <c r="Q29" t="inlineStr">
        <is>
          <t>Watershed — destination of the equations track. Verification step explicit.</t>
        </is>
      </c>
    </row>
    <row r="30" ht="15" customHeight="1" s="1">
      <c r="A30" t="inlineStr">
        <is>
          <t>y7_alg_10</t>
        </is>
      </c>
      <c r="B30" t="n">
        <v>7</v>
      </c>
      <c r="C30" t="inlineStr">
        <is>
          <t>Algebra</t>
        </is>
      </c>
      <c r="D30" t="inlineStr">
        <is>
          <t>10</t>
        </is>
      </c>
      <c r="E30" t="inlineStr">
        <is>
          <t>patterns_to_tables_of_values</t>
        </is>
      </c>
      <c r="F30" t="inlineStr">
        <is>
          <t>y7_alg_10_patterns_to_tables_of_values_v2.html</t>
        </is>
      </c>
      <c r="G30" t="inlineStr">
        <is>
          <t>AC9M7A05</t>
        </is>
      </c>
      <c r="H30" t="inlineStr">
        <is>
          <t>2, 4</t>
        </is>
      </c>
      <c r="I30" t="inlineStr">
        <is>
          <t>Strict</t>
        </is>
      </c>
      <c r="J30" t="inlineStr">
        <is>
          <t>Patterns and relationships between variables can be described algebraically and graphed to solve problems and support inferences</t>
        </is>
      </c>
      <c r="K30" t="inlineStr">
        <is>
          <t>Build table from visually growing pattern; describe relationship; generalise to rule; use rule to find later terms.</t>
        </is>
      </c>
      <c r="L30" t="inlineStr">
        <is>
          <t>auto-marked</t>
        </is>
      </c>
      <c r="M30" t="inlineStr">
        <is>
          <t>y7_alg_01</t>
        </is>
      </c>
      <c r="N30" t="inlineStr">
        <is>
          <t>Published</t>
        </is>
      </c>
      <c r="O30" t="inlineStr">
        <is>
          <t>2026-05-21</t>
        </is>
      </c>
      <c r="P30" t="inlineStr">
        <is>
          <t>https://seager94.github.io/year-7/algebra/y7_alg_10_patterns_to_tables_of_values_v2.html</t>
        </is>
      </c>
    </row>
    <row r="31" ht="15" customHeight="1" s="1">
      <c r="A31" t="inlineStr">
        <is>
          <t>y7_alg_11</t>
        </is>
      </c>
      <c r="B31" t="n">
        <v>7</v>
      </c>
      <c r="C31" t="inlineStr">
        <is>
          <t>Algebra</t>
        </is>
      </c>
      <c r="D31" t="inlineStr">
        <is>
          <t>11</t>
        </is>
      </c>
      <c r="E31" t="inlineStr">
        <is>
          <t>plotting_linear_relationships_on_cartesian_plane</t>
        </is>
      </c>
      <c r="F31" t="inlineStr">
        <is>
          <t>y7_alg_11_plotting_linear_relationships_on_cartesian_plane_v2.html</t>
        </is>
      </c>
      <c r="G31" t="inlineStr">
        <is>
          <t>AC9M7A05</t>
        </is>
      </c>
      <c r="H31" t="inlineStr">
        <is>
          <t>1, 3</t>
        </is>
      </c>
      <c r="I31" t="inlineStr">
        <is>
          <t>Strict</t>
        </is>
      </c>
      <c r="J31" t="inlineStr">
        <is>
          <t>Patterns and relationships between variables can be described algebraically and graphed to solve problems and support inferences</t>
        </is>
      </c>
      <c r="K31" t="inlineStr">
        <is>
          <t>Plot ordered pairs from table on Cartesian plane; linear rules produce straight lines; function machines as input-output generators.</t>
        </is>
      </c>
      <c r="L31" t="inlineStr">
        <is>
          <t>auto-marked</t>
        </is>
      </c>
      <c r="M31" t="inlineStr">
        <is>
          <t>y7_alg_10</t>
        </is>
      </c>
      <c r="N31" t="inlineStr">
        <is>
          <t>Published</t>
        </is>
      </c>
      <c r="O31" t="inlineStr">
        <is>
          <t>2026-05-21</t>
        </is>
      </c>
      <c r="P31" t="inlineStr">
        <is>
          <t>https://seager94.github.io/year-7/algebra/y7_alg_11_plotting_linear_relationships_on_cartesian_plane_v2.html</t>
        </is>
      </c>
      <c r="Q31" t="inlineStr">
        <is>
          <t>Watershed — first formal Cartesian plotting. Filename drifted from planned 'cartesian' to 'on_cartesian_plane'; published URL is source of truth.</t>
        </is>
      </c>
    </row>
    <row r="32" ht="15" customHeight="1" s="1">
      <c r="A32" t="inlineStr">
        <is>
          <t>y7_alg_12</t>
        </is>
      </c>
      <c r="B32" t="n">
        <v>7</v>
      </c>
      <c r="C32" t="inlineStr">
        <is>
          <t>Algebra</t>
        </is>
      </c>
      <c r="D32" t="inlineStr">
        <is>
          <t>12</t>
        </is>
      </c>
      <c r="E32" t="inlineStr">
        <is>
          <t>telling_stories_from_graphs</t>
        </is>
      </c>
      <c r="F32" t="inlineStr">
        <is>
          <t>y7_alg_12_telling_stories_from_graphs_v2.html</t>
        </is>
      </c>
      <c r="G32" t="inlineStr">
        <is>
          <t>AC9M7A04</t>
        </is>
      </c>
      <c r="H32" t="inlineStr">
        <is>
          <t>1, 2, 3, 4</t>
        </is>
      </c>
      <c r="I32" t="inlineStr">
        <is>
          <t>Strict</t>
        </is>
      </c>
      <c r="J32" t="inlineStr">
        <is>
          <t>Patterns and relationships between variables can be described algebraically and graphed to solve problems and support inferences</t>
        </is>
      </c>
      <c r="K32" t="inlineStr">
        <is>
          <t>Interpret authentic-data graphs (temperature, electricity, travel, pouring rates); read values; identify features; match stories to shapes.</t>
        </is>
      </c>
      <c r="L32" t="inlineStr">
        <is>
          <t>auto-marked</t>
        </is>
      </c>
      <c r="M32" t="inlineStr">
        <is>
          <t>y7_alg_11</t>
        </is>
      </c>
      <c r="N32" t="inlineStr">
        <is>
          <t>Published</t>
        </is>
      </c>
      <c r="O32" t="inlineStr">
        <is>
          <t>2026-05-21</t>
        </is>
      </c>
      <c r="P32" t="inlineStr">
        <is>
          <t>https://seager94.github.io/year-7/algebra/y7_alg_12_telling_stories_from_graphs_v2.html</t>
        </is>
      </c>
      <c r="Q32" t="inlineStr">
        <is>
          <t>Mastery: First Nations water-resource management evaporation graphs. Reflection questions are the only non-auto-marked elements.</t>
        </is>
      </c>
    </row>
    <row r="33" ht="15" customHeight="1" s="1">
      <c r="A33" t="inlineStr">
        <is>
          <t>y7_alg_13</t>
        </is>
      </c>
      <c r="B33" t="n">
        <v>7</v>
      </c>
      <c r="C33" t="inlineStr">
        <is>
          <t>Algebra</t>
        </is>
      </c>
      <c r="D33" t="inlineStr">
        <is>
          <t>13</t>
        </is>
      </c>
      <c r="E33" t="inlineStr">
        <is>
          <t>manipulating_formulas_systematic_variation</t>
        </is>
      </c>
      <c r="F33" t="inlineStr">
        <is>
          <t>y7_alg_13_manipulating_formulas_systematic_variation_v2.html</t>
        </is>
      </c>
      <c r="G33" t="inlineStr">
        <is>
          <t>AC9M7A06</t>
        </is>
      </c>
      <c r="H33" t="inlineStr">
        <is>
          <t>1, 2, 3</t>
        </is>
      </c>
      <c r="I33" t="inlineStr">
        <is>
          <t>Strict</t>
        </is>
      </c>
      <c r="J33" t="inlineStr">
        <is>
          <t>Patterns and relationships between variables can be described algebraically and graphed to solve problems and support inferences</t>
        </is>
      </c>
      <c r="K33" t="inlineStr">
        <is>
          <t>Reactive tables to vary inputs in formulas (V=lwh, d=st); describe effect of systematic variation.</t>
        </is>
      </c>
      <c r="L33" t="inlineStr">
        <is>
          <t>auto-marked</t>
        </is>
      </c>
      <c r="M33" t="inlineStr">
        <is>
          <t>y7_alg_04</t>
        </is>
      </c>
      <c r="N33" t="inlineStr">
        <is>
          <t>Published</t>
        </is>
      </c>
      <c r="O33" t="inlineStr">
        <is>
          <t>2026-05-21</t>
        </is>
      </c>
      <c r="P33" t="inlineStr">
        <is>
          <t>https://seager94.github.io/year-7/algebra/y7_alg_13_manipulating_formulas_systematic_variation_v2.html</t>
        </is>
      </c>
      <c r="Q33" t="inlineStr">
        <is>
          <t>HTML lesson uses embedded reactive tables as the 'digital tool'. Section 4 same-volume puzzle was a nice CC addition. Excel/Sheets follow-up recommended.</t>
        </is>
      </c>
    </row>
    <row r="34" ht="15" customHeight="1" s="1">
      <c r="A34" t="inlineStr">
        <is>
          <t>y7_mea_01</t>
        </is>
      </c>
      <c r="B34" t="n">
        <v>7</v>
      </c>
      <c r="C34" t="inlineStr">
        <is>
          <t>Measurement</t>
        </is>
      </c>
      <c r="D34" t="n">
        <v>1</v>
      </c>
      <c r="E34" t="inlineStr">
        <is>
          <t>area_of_triangles</t>
        </is>
      </c>
      <c r="F34" t="inlineStr">
        <is>
          <t>y7_mea_01_area_of_triangles_v2.html</t>
        </is>
      </c>
      <c r="G34" t="inlineStr">
        <is>
          <t>AC9M7M01</t>
        </is>
      </c>
      <c r="H34" t="inlineStr">
        <is>
          <t>1,2</t>
        </is>
      </c>
      <c r="I34" t="inlineStr">
        <is>
          <t>Strict</t>
        </is>
      </c>
      <c r="J34" t="inlineStr">
        <is>
          <t>Measurable attributes of 2-dimensional shapes and 3-dimensional objects can be determined based on the known properties of the shape or solid</t>
        </is>
      </c>
      <c r="K34" t="inlineStr">
        <is>
          <t>Derive area of a triangle as half an appropriate rectangle (½×base×height); identify the perpendicular height (not just any side); calculate areas of acute, obtuse and right-angled triangles.</t>
        </is>
      </c>
      <c r="L34" t="inlineStr">
        <is>
          <t>auto-marked</t>
        </is>
      </c>
      <c r="M34" t="inlineStr">
        <is>
          <t>y7_num_10</t>
        </is>
      </c>
      <c r="N34" t="inlineStr">
        <is>
          <t>Published</t>
        </is>
      </c>
      <c r="O34" t="inlineStr">
        <is>
          <t>2026-05-21</t>
        </is>
      </c>
      <c r="P34" t="inlineStr">
        <is>
          <t>https://seager94.github.io/year-7/measurement/y7_mea_01_area_of_triangles_v2.html</t>
        </is>
      </c>
      <c r="Q34" t="inlineStr">
        <is>
          <t>Cross-strand prereq: fraction arithmetic for the ½ multiplier.</t>
        </is>
      </c>
    </row>
    <row r="35" ht="15" customHeight="1" s="1">
      <c r="A35" t="inlineStr">
        <is>
          <t>y7_mea_02</t>
        </is>
      </c>
      <c r="B35" t="n">
        <v>7</v>
      </c>
      <c r="C35" t="inlineStr">
        <is>
          <t>Measurement</t>
        </is>
      </c>
      <c r="D35" t="n">
        <v>2</v>
      </c>
      <c r="E35" t="inlineStr">
        <is>
          <t>area_of_parallelograms</t>
        </is>
      </c>
      <c r="F35" t="inlineStr">
        <is>
          <t>y7_mea_02_area_of_parallelograms_v2.html</t>
        </is>
      </c>
      <c r="G35" t="inlineStr">
        <is>
          <t>AC9M7M01</t>
        </is>
      </c>
      <c r="H35" t="inlineStr">
        <is>
          <t>1,3</t>
        </is>
      </c>
      <c r="I35" t="inlineStr">
        <is>
          <t>Strict</t>
        </is>
      </c>
      <c r="J35" t="inlineStr">
        <is>
          <t>Measurable attributes of 2-dimensional shapes and 3-dimensional objects can be determined based on the known properties of the shape or solid</t>
        </is>
      </c>
      <c r="K35" t="inlineStr">
        <is>
          <t>Derive A=base×height for parallelograms by re-arranging into a rectangle; identify the perpendicular height; shade-sail and tiling cost problems.</t>
        </is>
      </c>
      <c r="L35" t="inlineStr">
        <is>
          <t>auto-marked</t>
        </is>
      </c>
      <c r="M35" t="inlineStr">
        <is>
          <t>y7_mea_01</t>
        </is>
      </c>
      <c r="N35" t="inlineStr">
        <is>
          <t>Published</t>
        </is>
      </c>
      <c r="O35" t="inlineStr">
        <is>
          <t>2026-05-21</t>
        </is>
      </c>
      <c r="P35" t="inlineStr">
        <is>
          <t>https://seager94.github.io/year-7/measurement/y7_mea_02_area_of_parallelograms_v2.html</t>
        </is>
      </c>
    </row>
    <row r="36" ht="15" customHeight="1" s="1">
      <c r="A36" t="inlineStr">
        <is>
          <t>y7_mea_03</t>
        </is>
      </c>
      <c r="B36" t="n">
        <v>7</v>
      </c>
      <c r="C36" t="inlineStr">
        <is>
          <t>Measurement</t>
        </is>
      </c>
      <c r="D36" t="n">
        <v>3</v>
      </c>
      <c r="E36" t="inlineStr">
        <is>
          <t>volume_of_rectangular_prisms</t>
        </is>
      </c>
      <c r="F36" t="inlineStr">
        <is>
          <t>y7_mea_03_volume_of_rectangular_prisms_v2.html</t>
        </is>
      </c>
      <c r="G36" t="inlineStr">
        <is>
          <t>AC9M7M02</t>
        </is>
      </c>
      <c r="H36" t="inlineStr">
        <is>
          <t>1,3</t>
        </is>
      </c>
      <c r="I36" t="inlineStr">
        <is>
          <t>Strict</t>
        </is>
      </c>
      <c r="J36" t="inlineStr">
        <is>
          <t>Measurable attributes of 2-dimensional shapes and 3-dimensional objects can be determined based on the known properties of the shape or solid</t>
        </is>
      </c>
      <c r="K36" t="inlineStr">
        <is>
          <t>Build rectangular prisms from unit cubes; derive V=l×w×h; apply to high-rise volume (floor area × number of floors); convert between cm³, m³ and capacity (mL, L).</t>
        </is>
      </c>
      <c r="L36" t="inlineStr">
        <is>
          <t>auto-marked</t>
        </is>
      </c>
      <c r="N36" t="inlineStr">
        <is>
          <t>Published</t>
        </is>
      </c>
      <c r="O36" t="inlineStr">
        <is>
          <t>2026-05-21</t>
        </is>
      </c>
      <c r="P36" t="inlineStr">
        <is>
          <t>https://seager94.github.io/year-7/measurement/y7_mea_03_volume_of_rectangular_prisms_v2.html</t>
        </is>
      </c>
    </row>
    <row r="37" ht="15" customHeight="1" s="1">
      <c r="A37" t="inlineStr">
        <is>
          <t>y7_mea_04</t>
        </is>
      </c>
      <c r="B37" t="n">
        <v>7</v>
      </c>
      <c r="C37" t="inlineStr">
        <is>
          <t>Measurement</t>
        </is>
      </c>
      <c r="D37" t="n">
        <v>4</v>
      </c>
      <c r="E37" t="inlineStr">
        <is>
          <t>volume_of_triangular_prisms</t>
        </is>
      </c>
      <c r="F37" t="inlineStr">
        <is>
          <t>y7_mea_04_volume_of_triangular_prisms_v2.html</t>
        </is>
      </c>
      <c r="G37" t="inlineStr">
        <is>
          <t>AC9M7M02</t>
        </is>
      </c>
      <c r="H37" t="inlineStr">
        <is>
          <t>2,4</t>
        </is>
      </c>
      <c r="I37" t="inlineStr">
        <is>
          <t>Strict</t>
        </is>
      </c>
      <c r="J37" t="inlineStr">
        <is>
          <t>Measurable attributes of 2-dimensional shapes and 3-dimensional objects can be determined based on the known properties of the shape or solid</t>
        </is>
      </c>
      <c r="K37" t="inlineStr">
        <is>
          <t>Generalise to V = cross-section area × length for any right prism; calculate volumes of triangular prisms; predict-and-test cross-section reasoning.</t>
        </is>
      </c>
      <c r="L37" t="inlineStr">
        <is>
          <t>auto-marked</t>
        </is>
      </c>
      <c r="M37" t="inlineStr">
        <is>
          <t>y7_mea_01,y7_mea_03</t>
        </is>
      </c>
      <c r="N37" t="inlineStr">
        <is>
          <t>Published</t>
        </is>
      </c>
      <c r="O37" t="inlineStr">
        <is>
          <t>2026-05-21</t>
        </is>
      </c>
      <c r="P37" t="inlineStr">
        <is>
          <t>https://seager94.github.io/year-7/measurement/y7_mea_04_volume_of_triangular_prisms_v2.html</t>
        </is>
      </c>
    </row>
    <row r="38" ht="15" customHeight="1" s="1">
      <c r="A38" t="inlineStr">
        <is>
          <t>y7_mea_05</t>
        </is>
      </c>
      <c r="B38" t="n">
        <v>7</v>
      </c>
      <c r="C38" t="inlineStr">
        <is>
          <t>Measurement</t>
        </is>
      </c>
      <c r="D38" t="n">
        <v>5</v>
      </c>
      <c r="E38" t="inlineStr">
        <is>
          <t>features_of_circles</t>
        </is>
      </c>
      <c r="F38" t="inlineStr">
        <is>
          <t>y7_mea_05_features_of_circles_v2.html</t>
        </is>
      </c>
      <c r="G38" t="inlineStr">
        <is>
          <t>AC9M7M03</t>
        </is>
      </c>
      <c r="H38" t="inlineStr">
        <is>
          <t>1,4</t>
        </is>
      </c>
      <c r="I38" t="inlineStr">
        <is>
          <t>Strict</t>
        </is>
      </c>
      <c r="J38" t="inlineStr">
        <is>
          <t>In any circle, the ratio of the circumference to the diameter is always the same and is represented by the number pi (π)</t>
        </is>
      </c>
      <c r="K38" t="inlineStr">
        <is>
          <t>Identify and label centre, radius, diameter, chord and circumference; use the relationship d=2r; First Nations Australians' use of circles in basketry, symbols and architecture.</t>
        </is>
      </c>
      <c r="L38" t="inlineStr">
        <is>
          <t>auto-marked</t>
        </is>
      </c>
      <c r="N38" t="inlineStr">
        <is>
          <t>Published</t>
        </is>
      </c>
      <c r="O38" t="inlineStr">
        <is>
          <t>2026-05-21</t>
        </is>
      </c>
      <c r="P38" t="inlineStr">
        <is>
          <t>https://seager94.github.io/year-7/measurement/y7_mea_05_features_of_circles_v2.html</t>
        </is>
      </c>
    </row>
    <row r="39" ht="15" customHeight="1" s="1">
      <c r="A39" t="inlineStr">
        <is>
          <t>y7_mea_06</t>
        </is>
      </c>
      <c r="B39" t="n">
        <v>7</v>
      </c>
      <c r="C39" t="inlineStr">
        <is>
          <t>Measurement</t>
        </is>
      </c>
      <c r="D39" t="n">
        <v>6</v>
      </c>
      <c r="E39" t="inlineStr">
        <is>
          <t>introducing_pi</t>
        </is>
      </c>
      <c r="F39" t="inlineStr">
        <is>
          <t>y7_mea_06_introducing_pi_v2.html</t>
        </is>
      </c>
      <c r="G39" t="inlineStr">
        <is>
          <t>AC9M7M03</t>
        </is>
      </c>
      <c r="H39" t="inlineStr">
        <is>
          <t>2,3</t>
        </is>
      </c>
      <c r="I39" t="inlineStr">
        <is>
          <t>Strict</t>
        </is>
      </c>
      <c r="J39" t="inlineStr">
        <is>
          <t>In any circle, the ratio of the circumference to the diameter is always the same and is represented by the number pi (π)</t>
        </is>
      </c>
      <c r="K39" t="inlineStr">
        <is>
          <t>Measure circumference and diameter of round objects with string; record C÷d; observe the constant ratio ≈ π; historical approximations of π from Egypt, Babylon, Greece, India and China.</t>
        </is>
      </c>
      <c r="L39" t="inlineStr">
        <is>
          <t>auto-marked + open-ended</t>
        </is>
      </c>
      <c r="M39" t="inlineStr">
        <is>
          <t>y7_mea_05</t>
        </is>
      </c>
      <c r="N39" t="inlineStr">
        <is>
          <t>Published</t>
        </is>
      </c>
      <c r="O39" t="inlineStr">
        <is>
          <t>2026-05-21</t>
        </is>
      </c>
      <c r="P39" t="inlineStr">
        <is>
          <t>https://seager94.github.io/year-7/measurement/y7_mea_06_introducing_pi_v2.html</t>
        </is>
      </c>
      <c r="Q39" t="inlineStr">
        <is>
          <t>Investigation lesson — practice should include some measurement-and-record task.</t>
        </is>
      </c>
    </row>
    <row r="40" ht="15" customHeight="1" s="1">
      <c r="A40" t="inlineStr">
        <is>
          <t>y7_mea_07</t>
        </is>
      </c>
      <c r="B40" t="n">
        <v>7</v>
      </c>
      <c r="C40" t="inlineStr">
        <is>
          <t>Measurement</t>
        </is>
      </c>
      <c r="D40" t="n">
        <v>7</v>
      </c>
      <c r="E40" t="inlineStr">
        <is>
          <t>parallel_lines_and_transversals</t>
        </is>
      </c>
      <c r="F40" t="inlineStr">
        <is>
          <t>y7_mea_07_parallel_lines_and_transversals_v2.html</t>
        </is>
      </c>
      <c r="G40" t="inlineStr">
        <is>
          <t>AC9M7M04</t>
        </is>
      </c>
      <c r="H40" t="inlineStr">
        <is>
          <t>1,2</t>
        </is>
      </c>
      <c r="I40" t="inlineStr">
        <is>
          <t>Strict</t>
        </is>
      </c>
      <c r="J40" t="inlineStr">
        <is>
          <t>Parallel and intersecting lines have properties that can be used to deduce relationships between the angles formed</t>
        </is>
      </c>
      <c r="K40" t="inlineStr">
        <is>
          <t>Construct parallel lines; identify corresponding, alternate and co-interior angles when a transversal crosses parallel lines; calculate unknown angles using these relationships.</t>
        </is>
      </c>
      <c r="L40" t="inlineStr">
        <is>
          <t>auto-marked</t>
        </is>
      </c>
      <c r="N40" t="inlineStr">
        <is>
          <t>Published</t>
        </is>
      </c>
      <c r="O40" t="inlineStr">
        <is>
          <t>2026-05-21</t>
        </is>
      </c>
      <c r="P40" t="inlineStr">
        <is>
          <t>https://seager94.github.io/year-7/measurement/y7_mea_07_parallel_lines_and_transversals_v2.html</t>
        </is>
      </c>
    </row>
    <row r="41" ht="15" customHeight="1" s="1">
      <c r="A41" t="inlineStr">
        <is>
          <t>y7_mea_08</t>
        </is>
      </c>
      <c r="B41" t="n">
        <v>7</v>
      </c>
      <c r="C41" t="inlineStr">
        <is>
          <t>Measurement</t>
        </is>
      </c>
      <c r="D41" t="n">
        <v>8</v>
      </c>
      <c r="E41" t="inlineStr">
        <is>
          <t>applying_parallel_line_angles</t>
        </is>
      </c>
      <c r="F41" t="inlineStr">
        <is>
          <t>y7_mea_08_applying_parallel_line_angles_v2.html</t>
        </is>
      </c>
      <c r="G41" t="inlineStr">
        <is>
          <t>AC9M7M04</t>
        </is>
      </c>
      <c r="H41" t="inlineStr">
        <is>
          <t>3,4</t>
        </is>
      </c>
      <c r="I41" t="inlineStr">
        <is>
          <t>Strict</t>
        </is>
      </c>
      <c r="J41" t="inlineStr">
        <is>
          <t>Parallel and intersecting lines have properties that can be used to deduce relationships between the angles formed</t>
        </is>
      </c>
      <c r="K41" t="inlineStr">
        <is>
          <t>Apply parallel-line angle reasoning to real contexts: scissor lifts, folding umbrellas, cherry pickers; justify each step with the angle property used; exterior-angle of a triangle.</t>
        </is>
      </c>
      <c r="L41" t="inlineStr">
        <is>
          <t>auto-marked</t>
        </is>
      </c>
      <c r="M41" t="inlineStr">
        <is>
          <t>y7_mea_07</t>
        </is>
      </c>
      <c r="N41" t="inlineStr">
        <is>
          <t>Published</t>
        </is>
      </c>
      <c r="O41" t="inlineStr">
        <is>
          <t>2026-05-21</t>
        </is>
      </c>
      <c r="P41" t="inlineStr">
        <is>
          <t>https://seager94.github.io/year-7/measurement/y7_mea_08_applying_parallel_line_angles_v2.html</t>
        </is>
      </c>
    </row>
    <row r="42" ht="15" customHeight="1" s="1">
      <c r="A42" t="inlineStr">
        <is>
          <t>y7_mea_09</t>
        </is>
      </c>
      <c r="B42" t="n">
        <v>7</v>
      </c>
      <c r="C42" t="inlineStr">
        <is>
          <t>Measurement</t>
        </is>
      </c>
      <c r="D42" t="n">
        <v>9</v>
      </c>
      <c r="E42" t="inlineStr">
        <is>
          <t>angle_sum_of_a_triangle</t>
        </is>
      </c>
      <c r="F42" t="inlineStr">
        <is>
          <t>y7_mea_09_angle_sum_of_a_triangle_v2.html</t>
        </is>
      </c>
      <c r="G42" t="inlineStr">
        <is>
          <t>AC9M7M05</t>
        </is>
      </c>
      <c r="H42" t="inlineStr">
        <is>
          <t>1</t>
        </is>
      </c>
      <c r="I42" t="inlineStr">
        <is>
          <t>Strict</t>
        </is>
      </c>
      <c r="J42" t="inlineStr">
        <is>
          <t>Parallel and intersecting lines have properties that can be used to deduce relationships between the angles formed</t>
        </is>
      </c>
      <c r="K42" t="inlineStr">
        <is>
          <t>Demonstrate that interior angles of a triangle sum to 180° (tearing-and-arranging); calculate unknown angles in triangles; connect to parallel-line angle properties.</t>
        </is>
      </c>
      <c r="L42" t="inlineStr">
        <is>
          <t>auto-marked</t>
        </is>
      </c>
      <c r="M42" t="inlineStr">
        <is>
          <t>y7_mea_07</t>
        </is>
      </c>
      <c r="N42" t="inlineStr">
        <is>
          <t>Published</t>
        </is>
      </c>
      <c r="O42" t="inlineStr">
        <is>
          <t>2026-05-21</t>
        </is>
      </c>
      <c r="P42" t="inlineStr">
        <is>
          <t>https://seager94.github.io/year-7/measurement/y7_mea_09_angle_sum_of_a_triangle_v2.html</t>
        </is>
      </c>
    </row>
    <row r="43" ht="15" customHeight="1" s="1">
      <c r="A43" t="inlineStr">
        <is>
          <t>y7_mea_10</t>
        </is>
      </c>
      <c r="B43" t="n">
        <v>7</v>
      </c>
      <c r="C43" t="inlineStr">
        <is>
          <t>Measurement</t>
        </is>
      </c>
      <c r="D43" t="n">
        <v>10</v>
      </c>
      <c r="E43" t="inlineStr">
        <is>
          <t>angle_sum_of_polygons</t>
        </is>
      </c>
      <c r="F43" t="inlineStr">
        <is>
          <t>y7_mea_10_angle_sum_of_polygons_v2.html</t>
        </is>
      </c>
      <c r="G43" t="inlineStr">
        <is>
          <t>AC9M7M05</t>
        </is>
      </c>
      <c r="H43" t="inlineStr">
        <is>
          <t>2</t>
        </is>
      </c>
      <c r="I43" t="inlineStr">
        <is>
          <t>Strict</t>
        </is>
      </c>
      <c r="J43" t="inlineStr">
        <is>
          <t>Parallel and intersecting lines have properties that can be used to deduce relationships between the angles formed</t>
        </is>
      </c>
      <c r="K43" t="inlineStr">
        <is>
          <t>Decompose polygons into triangles to derive interior angle sum (n−2)×180; calculate interior angles of regular polygons; solve for unknown angles in irregular polygons.</t>
        </is>
      </c>
      <c r="L43" t="inlineStr">
        <is>
          <t>auto-marked</t>
        </is>
      </c>
      <c r="M43" t="inlineStr">
        <is>
          <t>y7_mea_09</t>
        </is>
      </c>
      <c r="N43" t="inlineStr">
        <is>
          <t>Published</t>
        </is>
      </c>
      <c r="O43" t="inlineStr">
        <is>
          <t>2026-05-21</t>
        </is>
      </c>
      <c r="P43" t="inlineStr">
        <is>
          <t>https://seager94.github.io/year-7/measurement/y7_mea_10_angle_sum_of_polygons_v2.html</t>
        </is>
      </c>
    </row>
    <row r="44" ht="15" customHeight="1" s="1">
      <c r="A44" t="inlineStr">
        <is>
          <t>y7_mea_11</t>
        </is>
      </c>
      <c r="B44" t="n">
        <v>7</v>
      </c>
      <c r="C44" t="inlineStr">
        <is>
          <t>Measurement</t>
        </is>
      </c>
      <c r="D44" t="n">
        <v>11</v>
      </c>
      <c r="E44" t="inlineStr">
        <is>
          <t>modelling_ratios_in_recipes_and_design</t>
        </is>
      </c>
      <c r="F44" t="inlineStr">
        <is>
          <t>y7_mea_11_modelling_ratios_in_recipes_and_design_v2.html</t>
        </is>
      </c>
      <c r="G44" t="inlineStr">
        <is>
          <t>AC9M7M06</t>
        </is>
      </c>
      <c r="H44" t="inlineStr">
        <is>
          <t>1,2,3,4</t>
        </is>
      </c>
      <c r="I44" t="inlineStr">
        <is>
          <t>Strict</t>
        </is>
      </c>
      <c r="J44" t="inlineStr">
        <is>
          <t>Measurable attributes of 2-dimensional shapes and 3-dimensional objects can be determined based on the known properties of the shape or solid</t>
        </is>
      </c>
      <c r="K44" t="inlineStr">
        <is>
          <t>Apply ratios to real contexts: concrete mixing, salad dressing, paint colour mixing, golden ratio in design; investigate how First Nations Australians' knowledges inform pharmaceutical and toxin development.</t>
        </is>
      </c>
      <c r="L44" t="inlineStr">
        <is>
          <t>auto-marked + open-ended</t>
        </is>
      </c>
      <c r="M44" t="inlineStr">
        <is>
          <t>y7_num_17</t>
        </is>
      </c>
      <c r="N44" t="inlineStr">
        <is>
          <t>Published</t>
        </is>
      </c>
      <c r="O44" t="inlineStr">
        <is>
          <t>2026-05-21</t>
        </is>
      </c>
      <c r="P44" t="inlineStr">
        <is>
          <t>https://seager94.github.io/year-7/measurement/y7_mea_11_modelling_ratios_in_recipes_and_design_v2.html</t>
        </is>
      </c>
      <c r="Q44" t="inlineStr">
        <is>
          <t>M06 is the modelling-side companion to N08; ratio mechanics already covered in y7_num_16/17.</t>
        </is>
      </c>
    </row>
    <row r="45" ht="15" customHeight="1" s="1">
      <c r="A45" t="inlineStr">
        <is>
          <t>y7_spa_01</t>
        </is>
      </c>
      <c r="B45" t="n">
        <v>7</v>
      </c>
      <c r="C45" t="inlineStr">
        <is>
          <t>Space</t>
        </is>
      </c>
      <c r="D45" t="inlineStr">
        <is>
          <t>01</t>
        </is>
      </c>
      <c r="E45" t="inlineStr">
        <is>
          <t>two_dimensional_representations</t>
        </is>
      </c>
      <c r="F45" t="inlineStr">
        <is>
          <t>y7_spa_01_two_dimensional_representations.html</t>
        </is>
      </c>
      <c r="G45" t="inlineStr">
        <is>
          <t>AC9M7SP01</t>
        </is>
      </c>
      <c r="H45" t="inlineStr">
        <is>
          <t>1,3</t>
        </is>
      </c>
      <c r="I45" t="inlineStr">
        <is>
          <t>Strict</t>
        </is>
      </c>
      <c r="J45" t="inlineStr">
        <is>
          <t>Objects can be represented in two-dimensions in different ways</t>
        </is>
      </c>
      <c r="K45" t="inlineStr">
        <is>
          <t>Two dimensional representations</t>
        </is>
      </c>
      <c r="L45" t="inlineStr">
        <is>
          <t>auto-marked</t>
        </is>
      </c>
      <c r="N45" t="inlineStr">
        <is>
          <t>Published</t>
        </is>
      </c>
      <c r="P45" t="inlineStr">
        <is>
          <t>https://seager94.github.io/year-7/space/y7_spa_01_two_dimensional_representations.html</t>
        </is>
      </c>
      <c r="Q45" t="inlineStr">
        <is>
          <t>Reconciled from file meta 2026-05-30</t>
        </is>
      </c>
    </row>
    <row r="46" ht="15" customHeight="1" s="1">
      <c r="A46" t="inlineStr">
        <is>
          <t>y7_spa_02</t>
        </is>
      </c>
      <c r="B46" t="n">
        <v>7</v>
      </c>
      <c r="C46" t="inlineStr">
        <is>
          <t>Space</t>
        </is>
      </c>
      <c r="D46" t="inlineStr">
        <is>
          <t>02</t>
        </is>
      </c>
      <c r="E46" t="inlineStr">
        <is>
          <t>nets_of_solids</t>
        </is>
      </c>
      <c r="F46" t="inlineStr">
        <is>
          <t>y7_spa_02_nets_of_solids.html</t>
        </is>
      </c>
      <c r="G46" t="inlineStr">
        <is>
          <t>AC9M7SP01</t>
        </is>
      </c>
      <c r="H46" t="inlineStr">
        <is>
          <t>2</t>
        </is>
      </c>
      <c r="I46" t="inlineStr">
        <is>
          <t>Strict</t>
        </is>
      </c>
      <c r="J46" t="inlineStr">
        <is>
          <t>Objects can be represented in two-dimensions in different ways</t>
        </is>
      </c>
      <c r="K46" t="inlineStr">
        <is>
          <t>Nets of solids</t>
        </is>
      </c>
      <c r="L46" t="inlineStr">
        <is>
          <t>auto-marked</t>
        </is>
      </c>
      <c r="N46" t="inlineStr">
        <is>
          <t>Published</t>
        </is>
      </c>
      <c r="P46" t="inlineStr">
        <is>
          <t>https://seager94.github.io/year-7/space/y7_spa_02_nets_of_solids.html</t>
        </is>
      </c>
      <c r="Q46" t="inlineStr">
        <is>
          <t>Reconciled from file meta 2026-05-30</t>
        </is>
      </c>
    </row>
    <row r="47" ht="15" customHeight="1" s="1">
      <c r="A47" t="inlineStr">
        <is>
          <t>y7_spa_03</t>
        </is>
      </c>
      <c r="B47" t="n">
        <v>7</v>
      </c>
      <c r="C47" t="inlineStr">
        <is>
          <t>Space</t>
        </is>
      </c>
      <c r="D47" t="inlineStr">
        <is>
          <t>03</t>
        </is>
      </c>
      <c r="E47" t="inlineStr">
        <is>
          <t>isometric_and_orthographic_views</t>
        </is>
      </c>
      <c r="F47" t="inlineStr">
        <is>
          <t>y7_spa_03_isometric_and_orthographic_views.html</t>
        </is>
      </c>
      <c r="G47" t="inlineStr">
        <is>
          <t>AC9M7SP01</t>
        </is>
      </c>
      <c r="H47" t="inlineStr">
        <is>
          <t>4,5</t>
        </is>
      </c>
      <c r="I47" t="inlineStr">
        <is>
          <t>Strict</t>
        </is>
      </c>
      <c r="J47" t="inlineStr">
        <is>
          <t>Objects can be represented in two-dimensions in different ways</t>
        </is>
      </c>
      <c r="K47" t="inlineStr">
        <is>
          <t>Isometric and orthographic views</t>
        </is>
      </c>
      <c r="L47" t="inlineStr">
        <is>
          <t>auto-marked</t>
        </is>
      </c>
      <c r="N47" t="inlineStr">
        <is>
          <t>Published</t>
        </is>
      </c>
      <c r="P47" t="inlineStr">
        <is>
          <t>https://seager94.github.io/year-7/space/y7_spa_03_isometric_and_orthographic_views.html</t>
        </is>
      </c>
      <c r="Q47" t="inlineStr">
        <is>
          <t>Reconciled from file meta 2026-05-30</t>
        </is>
      </c>
    </row>
    <row r="48" ht="15" customHeight="1" s="1">
      <c r="A48" t="inlineStr">
        <is>
          <t>y7_spa_04</t>
        </is>
      </c>
      <c r="B48" t="n">
        <v>7</v>
      </c>
      <c r="C48" t="inlineStr">
        <is>
          <t>Space</t>
        </is>
      </c>
      <c r="D48" t="inlineStr">
        <is>
          <t>04</t>
        </is>
      </c>
      <c r="E48" t="inlineStr">
        <is>
          <t>classifying_triangles</t>
        </is>
      </c>
      <c r="F48" t="inlineStr">
        <is>
          <t>y7_spa_04_classifying_triangles.html</t>
        </is>
      </c>
      <c r="G48" t="inlineStr">
        <is>
          <t>AC9M7SP02</t>
        </is>
      </c>
      <c r="H48" t="inlineStr">
        <is>
          <t>2,3</t>
        </is>
      </c>
      <c r="I48" t="inlineStr">
        <is>
          <t>Strict</t>
        </is>
      </c>
      <c r="J48" t="inlineStr">
        <is>
          <t>Shapes can be classified and compared by their geometrical properties</t>
        </is>
      </c>
      <c r="K48" t="inlineStr">
        <is>
          <t>Classifying triangles</t>
        </is>
      </c>
      <c r="L48" t="inlineStr">
        <is>
          <t>auto-marked</t>
        </is>
      </c>
      <c r="N48" t="inlineStr">
        <is>
          <t>Published</t>
        </is>
      </c>
      <c r="P48" t="inlineStr">
        <is>
          <t>https://seager94.github.io/year-7/space/y7_spa_04_classifying_triangles.html</t>
        </is>
      </c>
      <c r="Q48" t="inlineStr">
        <is>
          <t>Reconciled from file meta 2026-05-30</t>
        </is>
      </c>
    </row>
    <row r="49" ht="15" customHeight="1" s="1">
      <c r="A49" t="inlineStr">
        <is>
          <t>y7_spa_05</t>
        </is>
      </c>
      <c r="B49" t="n">
        <v>7</v>
      </c>
      <c r="C49" t="inlineStr">
        <is>
          <t>Space</t>
        </is>
      </c>
      <c r="D49" t="inlineStr">
        <is>
          <t>05</t>
        </is>
      </c>
      <c r="E49" t="inlineStr">
        <is>
          <t>classifying_quadrilaterals</t>
        </is>
      </c>
      <c r="F49" t="inlineStr">
        <is>
          <t>y7_spa_05_classifying_quadrilaterals.html</t>
        </is>
      </c>
      <c r="G49" t="inlineStr">
        <is>
          <t>AC9M7SP02</t>
        </is>
      </c>
      <c r="H49" t="inlineStr">
        <is>
          <t>4</t>
        </is>
      </c>
      <c r="I49" t="inlineStr">
        <is>
          <t>Strict</t>
        </is>
      </c>
      <c r="J49" t="inlineStr">
        <is>
          <t>Shapes can be classified and compared by their geometrical properties</t>
        </is>
      </c>
      <c r="K49" t="inlineStr">
        <is>
          <t>Classifying quadrilaterals</t>
        </is>
      </c>
      <c r="L49" t="inlineStr">
        <is>
          <t>auto-marked</t>
        </is>
      </c>
      <c r="N49" t="inlineStr">
        <is>
          <t>Published</t>
        </is>
      </c>
      <c r="P49" t="inlineStr">
        <is>
          <t>https://seager94.github.io/year-7/space/y7_spa_05_classifying_quadrilaterals.html</t>
        </is>
      </c>
      <c r="Q49" t="inlineStr">
        <is>
          <t>Reconciled from file meta 2026-05-30</t>
        </is>
      </c>
    </row>
    <row r="50" ht="15" customHeight="1" s="1">
      <c r="A50" t="inlineStr">
        <is>
          <t>y7_spa_06</t>
        </is>
      </c>
      <c r="B50" t="n">
        <v>7</v>
      </c>
      <c r="C50" t="inlineStr">
        <is>
          <t>Space</t>
        </is>
      </c>
      <c r="D50" t="inlineStr">
        <is>
          <t>06</t>
        </is>
      </c>
      <c r="E50" t="inlineStr">
        <is>
          <t>rigidity_of_shapes</t>
        </is>
      </c>
      <c r="F50" t="inlineStr">
        <is>
          <t>y7_spa_06_rigidity_of_shapes.html</t>
        </is>
      </c>
      <c r="G50" t="inlineStr">
        <is>
          <t>AC9M7SP02</t>
        </is>
      </c>
      <c r="H50" t="inlineStr">
        <is>
          <t>1</t>
        </is>
      </c>
      <c r="I50" t="inlineStr">
        <is>
          <t>Strict</t>
        </is>
      </c>
      <c r="J50" t="inlineStr">
        <is>
          <t>Shapes can be classified and compared by their geometrical properties</t>
        </is>
      </c>
      <c r="K50" t="inlineStr">
        <is>
          <t>Rigidity of shapes</t>
        </is>
      </c>
      <c r="L50" t="inlineStr">
        <is>
          <t>auto-marked</t>
        </is>
      </c>
      <c r="N50" t="inlineStr">
        <is>
          <t>Published</t>
        </is>
      </c>
      <c r="P50" t="inlineStr">
        <is>
          <t>https://seager94.github.io/year-7/space/y7_spa_06_rigidity_of_shapes.html</t>
        </is>
      </c>
      <c r="Q50" t="inlineStr">
        <is>
          <t>Reconciled from file meta 2026-05-30</t>
        </is>
      </c>
    </row>
    <row r="51" ht="15" customHeight="1" s="1">
      <c r="A51" t="inlineStr">
        <is>
          <t>y7_spa_07</t>
        </is>
      </c>
      <c r="B51" t="n">
        <v>7</v>
      </c>
      <c r="C51" t="inlineStr">
        <is>
          <t>Space</t>
        </is>
      </c>
      <c r="D51" t="inlineStr">
        <is>
          <t>07</t>
        </is>
      </c>
      <c r="E51" t="inlineStr">
        <is>
          <t>classification_algorithms</t>
        </is>
      </c>
      <c r="F51" t="inlineStr">
        <is>
          <t>y7_spa_07_classification_algorithms.html</t>
        </is>
      </c>
      <c r="G51" t="inlineStr">
        <is>
          <t>AC9M7SP04</t>
        </is>
      </c>
      <c r="H51" t="inlineStr">
        <is>
          <t>1,2</t>
        </is>
      </c>
      <c r="I51" t="inlineStr">
        <is>
          <t>Strict</t>
        </is>
      </c>
      <c r="J51" t="inlineStr">
        <is>
          <t>Shapes can be classified and compared by their geometrical properties</t>
        </is>
      </c>
      <c r="K51" t="inlineStr">
        <is>
          <t>Classification algorithms</t>
        </is>
      </c>
      <c r="L51" t="inlineStr">
        <is>
          <t>strategy-MCQ</t>
        </is>
      </c>
      <c r="N51" t="inlineStr">
        <is>
          <t>Published</t>
        </is>
      </c>
      <c r="P51" t="inlineStr">
        <is>
          <t>https://seager94.github.io/year-7/space/y7_spa_07_classification_algorithms.html</t>
        </is>
      </c>
      <c r="Q51" t="inlineStr">
        <is>
          <t>Reconciled from file meta 2026-05-30</t>
        </is>
      </c>
    </row>
    <row r="52" ht="15" customHeight="1" s="1">
      <c r="A52" t="inlineStr">
        <is>
          <t>y7_spa_08</t>
        </is>
      </c>
      <c r="B52" t="n">
        <v>7</v>
      </c>
      <c r="C52" t="inlineStr">
        <is>
          <t>Space</t>
        </is>
      </c>
      <c r="D52" t="inlineStr">
        <is>
          <t>08</t>
        </is>
      </c>
      <c r="E52" t="inlineStr">
        <is>
          <t>translations_and_reflections_on_cartesian</t>
        </is>
      </c>
      <c r="F52" t="inlineStr">
        <is>
          <t>y7_spa_05_translations_and_reflections_on_cartesian_v2.html</t>
        </is>
      </c>
      <c r="G52" t="inlineStr">
        <is>
          <t>AC9M7SP03</t>
        </is>
      </c>
      <c r="H52" t="inlineStr">
        <is>
          <t>1,2</t>
        </is>
      </c>
      <c r="I52" t="inlineStr">
        <is>
          <t>Strict</t>
        </is>
      </c>
      <c r="J52" t="inlineStr">
        <is>
          <t>Geometrical transformations of points and 2-dimensional shapes can be represented on a Cartesian plane</t>
        </is>
      </c>
      <c r="K52" t="inlineStr">
        <is>
          <t>Translate points and shapes on the Cartesian plane by a vector; reflect across the x-axis and y-axis; record coordinates before and after; observe that two reflections can give a translation.</t>
        </is>
      </c>
      <c r="L52" t="inlineStr">
        <is>
          <t>auto-marked</t>
        </is>
      </c>
      <c r="M52" t="inlineStr">
        <is>
          <t>y7_alg_09</t>
        </is>
      </c>
      <c r="N52" t="inlineStr">
        <is>
          <t>Planned</t>
        </is>
      </c>
      <c r="Q52" t="inlineStr">
        <is>
          <t>Cross-strand prereq on alg_09 for Cartesian plane fluency. | deferred - needs transformation interactive component</t>
        </is>
      </c>
    </row>
    <row r="53" ht="15" customHeight="1" s="1">
      <c r="A53" t="inlineStr">
        <is>
          <t>y7_spa_09</t>
        </is>
      </c>
      <c r="B53" t="n">
        <v>7</v>
      </c>
      <c r="C53" t="inlineStr">
        <is>
          <t>Space</t>
        </is>
      </c>
      <c r="D53" t="inlineStr">
        <is>
          <t>09</t>
        </is>
      </c>
      <c r="E53" t="inlineStr">
        <is>
          <t>rotations_and_transformation_patterns</t>
        </is>
      </c>
      <c r="F53" t="inlineStr">
        <is>
          <t>y7_spa_06_rotations_and_transformation_patterns_v2.html</t>
        </is>
      </c>
      <c r="G53" t="inlineStr">
        <is>
          <t>AC9M7SP03</t>
        </is>
      </c>
      <c r="H53" t="inlineStr">
        <is>
          <t>1,3</t>
        </is>
      </c>
      <c r="I53" t="inlineStr">
        <is>
          <t>Strict</t>
        </is>
      </c>
      <c r="J53" t="inlineStr">
        <is>
          <t>Geometrical transformations of points and 2-dimensional shapes can be represented on a Cartesian plane</t>
        </is>
      </c>
      <c r="K53" t="inlineStr">
        <is>
          <t>Rotate shapes about a given point (90°, 180°, 270° clockwise/anticlockwise); combine translations, reflections and rotations to create patterns and tessellations.</t>
        </is>
      </c>
      <c r="L53" t="inlineStr">
        <is>
          <t>auto-marked</t>
        </is>
      </c>
      <c r="M53" t="inlineStr">
        <is>
          <t>y7_spa_05</t>
        </is>
      </c>
      <c r="N53" t="inlineStr">
        <is>
          <t>Planned</t>
        </is>
      </c>
      <c r="Q53" t="inlineStr">
        <is>
          <t>deferred - needs transformation interactive component</t>
        </is>
      </c>
    </row>
    <row r="54" ht="15" customHeight="1" s="1">
      <c r="A54" t="inlineStr">
        <is>
          <t>y7_sta_01</t>
        </is>
      </c>
      <c r="B54" t="n">
        <v>7</v>
      </c>
      <c r="C54" t="inlineStr">
        <is>
          <t>Statistics</t>
        </is>
      </c>
      <c r="D54" t="n">
        <v>1</v>
      </c>
      <c r="E54" t="inlineStr">
        <is>
          <t>calculating_mean_median_mode_range</t>
        </is>
      </c>
      <c r="F54" t="inlineStr">
        <is>
          <t>y7_sta_01_calculating_mean_median_mode_range_v2.html</t>
        </is>
      </c>
      <c r="G54" t="inlineStr">
        <is>
          <t>AC9M7ST01</t>
        </is>
      </c>
      <c r="H54" t="inlineStr">
        <is>
          <t>1,3</t>
        </is>
      </c>
      <c r="I54" t="inlineStr">
        <is>
          <t>Strict</t>
        </is>
      </c>
      <c r="J54" t="inlineStr">
        <is>
          <t>Variation in data can be measured and used to describe and compare data sets</t>
        </is>
      </c>
      <c r="K54" t="inlineStr">
        <is>
          <t>Calculate mean, median, mode and range from a list of values and from a dot plot; understand what each measure tells us about the data; recognise that different data sets can share the same measure of central tendency.</t>
        </is>
      </c>
      <c r="L54" t="inlineStr">
        <is>
          <t>auto-marked</t>
        </is>
      </c>
      <c r="M54" t="inlineStr">
        <is>
          <t>y7_num_10,y7_num_11</t>
        </is>
      </c>
      <c r="N54" t="inlineStr">
        <is>
          <t>Published</t>
        </is>
      </c>
      <c r="P54" t="inlineStr">
        <is>
          <t>https://seager94.github.io/year-7/statistics/y7_sta_01_calculating_mean_median_mode_range_v2.html</t>
        </is>
      </c>
      <c r="Q54" t="inlineStr">
        <is>
          <t>Status reconciled from repo 2026-05-30 (generated date unconfirmed)</t>
        </is>
      </c>
    </row>
    <row r="55" ht="15" customHeight="1" s="1">
      <c r="A55" t="inlineStr">
        <is>
          <t>y7_sta_02</t>
        </is>
      </c>
      <c r="B55" t="n">
        <v>7</v>
      </c>
      <c r="C55" t="inlineStr">
        <is>
          <t>Statistics</t>
        </is>
      </c>
      <c r="D55" t="n">
        <v>2</v>
      </c>
      <c r="E55" t="inlineStr">
        <is>
          <t>choosing_a_measure_of_central_tendency</t>
        </is>
      </c>
      <c r="F55" t="inlineStr">
        <is>
          <t>y7_sta_02_choosing_a_measure_of_central_tendency_v2.html</t>
        </is>
      </c>
      <c r="G55" t="inlineStr">
        <is>
          <t>AC9M7ST01</t>
        </is>
      </c>
      <c r="H55" t="inlineStr">
        <is>
          <t>2,4</t>
        </is>
      </c>
      <c r="I55" t="inlineStr">
        <is>
          <t>Strict</t>
        </is>
      </c>
      <c r="J55" t="inlineStr">
        <is>
          <t>Variation in data can be measured and used to describe and compare data sets</t>
        </is>
      </c>
      <c r="K55" t="inlineStr">
        <is>
          <t>Compare mean and median for skewed vs symmetric data; explain how outliers affect each summary statistic; choose mean or median to justify a claim; analyse continuous measurement data from a science experiment.</t>
        </is>
      </c>
      <c r="L55" t="inlineStr">
        <is>
          <t>auto-marked + open-ended</t>
        </is>
      </c>
      <c r="M55" t="inlineStr">
        <is>
          <t>y7_sta_01</t>
        </is>
      </c>
      <c r="N55" t="inlineStr">
        <is>
          <t>Published</t>
        </is>
      </c>
      <c r="P55" t="inlineStr">
        <is>
          <t>https://seager94.github.io/year-7/statistics/y7_sta_02_choosing_a_measure_of_central_tendency_v2.html</t>
        </is>
      </c>
      <c r="Q55" t="inlineStr">
        <is>
          <t>Status reconciled from repo 2026-05-30 (generated date unconfirmed)</t>
        </is>
      </c>
    </row>
    <row r="56" ht="15" customHeight="1" s="1">
      <c r="A56" t="inlineStr">
        <is>
          <t>y7_sta_03</t>
        </is>
      </c>
      <c r="B56" t="n">
        <v>7</v>
      </c>
      <c r="C56" t="inlineStr">
        <is>
          <t>Statistics</t>
        </is>
      </c>
      <c r="D56" t="n">
        <v>3</v>
      </c>
      <c r="E56" t="inlineStr">
        <is>
          <t>stem_and_leaf_plots</t>
        </is>
      </c>
      <c r="F56" t="inlineStr">
        <is>
          <t>y7_sta_03_stem_and_leaf_plots_v2.html</t>
        </is>
      </c>
      <c r="G56" t="inlineStr">
        <is>
          <t>AC9M7ST02</t>
        </is>
      </c>
      <c r="H56" t="inlineStr">
        <is>
          <t>1,2</t>
        </is>
      </c>
      <c r="I56" t="inlineStr">
        <is>
          <t>Strict</t>
        </is>
      </c>
      <c r="J56" t="inlineStr">
        <is>
          <t>Data can be organised and represented in different ways to inform, justify and persuade conclusions</t>
        </is>
      </c>
      <c r="K56" t="inlineStr">
        <is>
          <t>Construct ordered stem-and-leaf plots from a class data set (e.g. heights in cm); read the median, mode and range directly from the plot; build split stem-and-leaf plots to compare groups.</t>
        </is>
      </c>
      <c r="L56" t="inlineStr">
        <is>
          <t>auto-marked</t>
        </is>
      </c>
      <c r="M56" t="inlineStr">
        <is>
          <t>y7_sta_01</t>
        </is>
      </c>
      <c r="N56" t="inlineStr">
        <is>
          <t>Published</t>
        </is>
      </c>
      <c r="P56" t="inlineStr">
        <is>
          <t>https://seager94.github.io/year-7/statistics/y7_sta_03_stem_and_leaf_plots_v2.html</t>
        </is>
      </c>
      <c r="Q56" t="inlineStr">
        <is>
          <t>Status reconciled from repo 2026-05-30 (generated date unconfirmed)</t>
        </is>
      </c>
    </row>
    <row r="57" ht="15" customHeight="1" s="1">
      <c r="A57" t="inlineStr">
        <is>
          <t>y7_sta_04</t>
        </is>
      </c>
      <c r="B57" t="n">
        <v>7</v>
      </c>
      <c r="C57" t="inlineStr">
        <is>
          <t>Statistics</t>
        </is>
      </c>
      <c r="D57" t="n">
        <v>4</v>
      </c>
      <c r="E57" t="inlineStr">
        <is>
          <t>describing_distribution_shape</t>
        </is>
      </c>
      <c r="F57" t="inlineStr">
        <is>
          <t>y7_sta_04_describing_distribution_shape_v2.html</t>
        </is>
      </c>
      <c r="G57" t="inlineStr">
        <is>
          <t>AC9M7ST02</t>
        </is>
      </c>
      <c r="H57" t="inlineStr">
        <is>
          <t>3,4,5</t>
        </is>
      </c>
      <c r="I57" t="inlineStr">
        <is>
          <t>Strict</t>
        </is>
      </c>
      <c r="J57" t="inlineStr">
        <is>
          <t>Variation in data can be measured and used to describe and compare data sets</t>
        </is>
      </c>
      <c r="K57" t="inlineStr">
        <is>
          <t>Describe distribution shape using positive skew, negative skew, symmetric and bi-modal; locate the mean and median on each shape; identify outliers and explain their effect on the comparison of two data sets.</t>
        </is>
      </c>
      <c r="L57" t="inlineStr">
        <is>
          <t>auto-marked</t>
        </is>
      </c>
      <c r="M57" t="inlineStr">
        <is>
          <t>y7_sta_03</t>
        </is>
      </c>
      <c r="N57" t="inlineStr">
        <is>
          <t>Published</t>
        </is>
      </c>
      <c r="P57" t="inlineStr">
        <is>
          <t>https://seager94.github.io/year-7/statistics/y7_sta_04_describing_distribution_shape_v2.html</t>
        </is>
      </c>
      <c r="Q57" t="inlineStr">
        <is>
          <t>Status reconciled from repo 2026-05-30 (generated date unconfirmed)</t>
        </is>
      </c>
    </row>
    <row r="58" ht="15" customHeight="1" s="1">
      <c r="A58" t="inlineStr">
        <is>
          <t>y7_sta_05</t>
        </is>
      </c>
      <c r="B58" t="n">
        <v>7</v>
      </c>
      <c r="C58" t="inlineStr">
        <is>
          <t>Statistics</t>
        </is>
      </c>
      <c r="D58" t="n">
        <v>5</v>
      </c>
      <c r="E58" t="inlineStr">
        <is>
          <t>statistical_investigations</t>
        </is>
      </c>
      <c r="F58" t="inlineStr">
        <is>
          <t>y7_sta_05_statistical_investigations_v2.html</t>
        </is>
      </c>
      <c r="G58" t="inlineStr">
        <is>
          <t>AC9M7ST03</t>
        </is>
      </c>
      <c r="H58" t="inlineStr">
        <is>
          <t>1,2,3</t>
        </is>
      </c>
      <c r="I58" t="inlineStr">
        <is>
          <t>Strict</t>
        </is>
      </c>
      <c r="J58" t="inlineStr">
        <is>
          <t>Data can be organised and represented in different ways to inform, justify and persuade conclusions</t>
        </is>
      </c>
      <c r="K58" t="inlineStr">
        <is>
          <t>Plan and conduct a full statistical investigation: pose a question, collect or source data, summarise with appropriate measures, interpret findings; example contexts include reaction times (teen vs adult), a STEM design improvement, or secondary data from the Reconciliation Barometer.</t>
        </is>
      </c>
      <c r="L58" t="inlineStr">
        <is>
          <t>auto-marked + open-ended</t>
        </is>
      </c>
      <c r="M58" t="inlineStr">
        <is>
          <t>y7_sta_02,y7_sta_04</t>
        </is>
      </c>
      <c r="N58" t="inlineStr">
        <is>
          <t>Published</t>
        </is>
      </c>
      <c r="P58" t="inlineStr">
        <is>
          <t>https://seager94.github.io/year-7/statistics/y7_sta_05_statistical_investigations_v2.html</t>
        </is>
      </c>
      <c r="Q58" t="inlineStr">
        <is>
          <t>Status reconciled from repo 2026-05-30 (generated date unconfirmed)</t>
        </is>
      </c>
    </row>
    <row r="59" ht="15" customHeight="1" s="1">
      <c r="A59" t="inlineStr">
        <is>
          <t>y7_prb_01</t>
        </is>
      </c>
      <c r="B59" t="n">
        <v>7</v>
      </c>
      <c r="C59" t="inlineStr">
        <is>
          <t>Probability</t>
        </is>
      </c>
      <c r="D59" t="inlineStr">
        <is>
          <t>01</t>
        </is>
      </c>
      <c r="E59" t="inlineStr">
        <is>
          <t>language_of_chance</t>
        </is>
      </c>
      <c r="F59" t="inlineStr">
        <is>
          <t>y7_prb_01_language_of_chance.html</t>
        </is>
      </c>
      <c r="G59" t="inlineStr">
        <is>
          <t>AC9M7P01</t>
        </is>
      </c>
      <c r="H59" t="inlineStr">
        <is>
          <t>1</t>
        </is>
      </c>
      <c r="I59" t="inlineStr">
        <is>
          <t>Strict</t>
        </is>
      </c>
      <c r="J59" t="inlineStr">
        <is>
          <t>Outcomes of events can be described and their likelihood can be measured</t>
        </is>
      </c>
      <c r="K59" t="inlineStr">
        <is>
          <t>Language of chance</t>
        </is>
      </c>
      <c r="L59" t="inlineStr">
        <is>
          <t>auto-marked</t>
        </is>
      </c>
      <c r="N59" t="inlineStr">
        <is>
          <t>Published</t>
        </is>
      </c>
      <c r="P59" t="inlineStr">
        <is>
          <t>https://seager94.github.io/year-7/probability/y7_prb_01_language_of_chance.html</t>
        </is>
      </c>
      <c r="Q59" t="inlineStr">
        <is>
          <t>Reconciled from file meta 2026-05-30</t>
        </is>
      </c>
    </row>
    <row r="60" ht="15" customHeight="1" s="1">
      <c r="A60" t="inlineStr">
        <is>
          <t>y7_prb_02</t>
        </is>
      </c>
      <c r="B60" t="n">
        <v>7</v>
      </c>
      <c r="C60" t="inlineStr">
        <is>
          <t>Probability</t>
        </is>
      </c>
      <c r="D60" t="inlineStr">
        <is>
          <t>02</t>
        </is>
      </c>
      <c r="E60" t="inlineStr">
        <is>
          <t>sample_spaces</t>
        </is>
      </c>
      <c r="F60" t="inlineStr">
        <is>
          <t>y7_prb_02_sample_spaces.html</t>
        </is>
      </c>
      <c r="G60" t="inlineStr">
        <is>
          <t>AC9M7P01</t>
        </is>
      </c>
      <c r="H60" t="inlineStr">
        <is>
          <t>2</t>
        </is>
      </c>
      <c r="I60" t="inlineStr">
        <is>
          <t>Strict</t>
        </is>
      </c>
      <c r="J60" t="inlineStr">
        <is>
          <t>Outcomes of events can be described and their likelihood can be measured</t>
        </is>
      </c>
      <c r="K60" t="inlineStr">
        <is>
          <t>Sample spaces</t>
        </is>
      </c>
      <c r="L60" t="inlineStr">
        <is>
          <t>auto-marked</t>
        </is>
      </c>
      <c r="N60" t="inlineStr">
        <is>
          <t>Published</t>
        </is>
      </c>
      <c r="P60" t="inlineStr">
        <is>
          <t>https://seager94.github.io/year-7/probability/y7_prb_02_sample_spaces.html</t>
        </is>
      </c>
      <c r="Q60" t="inlineStr">
        <is>
          <t>Reconciled from file meta 2026-05-30</t>
        </is>
      </c>
    </row>
    <row r="61" ht="15" customHeight="1" s="1">
      <c r="A61" t="inlineStr">
        <is>
          <t>y7_prb_03</t>
        </is>
      </c>
      <c r="B61" t="n">
        <v>7</v>
      </c>
      <c r="C61" t="inlineStr">
        <is>
          <t>Probability</t>
        </is>
      </c>
      <c r="D61" t="inlineStr">
        <is>
          <t>03</t>
        </is>
      </c>
      <c r="E61" t="inlineStr">
        <is>
          <t>assigning_probabilities</t>
        </is>
      </c>
      <c r="F61" t="inlineStr">
        <is>
          <t>y7_prb_03_assigning_probabilities.html</t>
        </is>
      </c>
      <c r="G61" t="inlineStr">
        <is>
          <t>AC9M7P01</t>
        </is>
      </c>
      <c r="H61" t="inlineStr">
        <is>
          <t>3</t>
        </is>
      </c>
      <c r="I61" t="inlineStr">
        <is>
          <t>Strict</t>
        </is>
      </c>
      <c r="J61" t="inlineStr">
        <is>
          <t>Outcomes of events can be described and their likelihood can be measured</t>
        </is>
      </c>
      <c r="K61" t="inlineStr">
        <is>
          <t>Assigning probabilities</t>
        </is>
      </c>
      <c r="L61" t="inlineStr">
        <is>
          <t>auto-marked</t>
        </is>
      </c>
      <c r="N61" t="inlineStr">
        <is>
          <t>Published</t>
        </is>
      </c>
      <c r="P61" t="inlineStr">
        <is>
          <t>https://seager94.github.io/year-7/probability/y7_prb_03_assigning_probabilities.html</t>
        </is>
      </c>
      <c r="Q61" t="inlineStr">
        <is>
          <t>Reconciled from file meta 2026-05-30</t>
        </is>
      </c>
    </row>
    <row r="62" ht="15" customHeight="1" s="1">
      <c r="A62" t="inlineStr">
        <is>
          <t>y7_prb_04</t>
        </is>
      </c>
      <c r="B62" t="n">
        <v>7</v>
      </c>
      <c r="C62" t="inlineStr">
        <is>
          <t>Probability</t>
        </is>
      </c>
      <c r="D62" t="inlineStr">
        <is>
          <t>04</t>
        </is>
      </c>
      <c r="E62" t="inlineStr">
        <is>
          <t>experiments_and_simulations</t>
        </is>
      </c>
      <c r="F62" t="inlineStr">
        <is>
          <t>y7_prb_04_experiments_and_simulations.html</t>
        </is>
      </c>
      <c r="G62" t="inlineStr">
        <is>
          <t>AC9M7P02</t>
        </is>
      </c>
      <c r="H62" t="inlineStr">
        <is>
          <t>1,2</t>
        </is>
      </c>
      <c r="I62" t="inlineStr">
        <is>
          <t>Strict</t>
        </is>
      </c>
      <c r="J62" t="inlineStr">
        <is>
          <t>Theoretical probabilities can predict relative frequencies of experimental data</t>
        </is>
      </c>
      <c r="K62" t="inlineStr">
        <is>
          <t>Experiments and simulations</t>
        </is>
      </c>
      <c r="L62" t="inlineStr">
        <is>
          <t>auto-marked + open-ended</t>
        </is>
      </c>
      <c r="N62" t="inlineStr">
        <is>
          <t>Published</t>
        </is>
      </c>
      <c r="P62" t="inlineStr">
        <is>
          <t>https://seager94.github.io/year-7/probability/y7_prb_04_experiments_and_simulations.html</t>
        </is>
      </c>
      <c r="Q62" t="inlineStr">
        <is>
          <t>Reconciled from file meta 2026-05-30</t>
        </is>
      </c>
    </row>
    <row r="63" ht="15" customHeight="1" s="1">
      <c r="A63" t="inlineStr">
        <is>
          <t>y8_num_01</t>
        </is>
      </c>
      <c r="B63" t="n">
        <v>8</v>
      </c>
      <c r="C63" t="inlineStr">
        <is>
          <t>Number</t>
        </is>
      </c>
      <c r="D63" t="n">
        <v>1</v>
      </c>
      <c r="E63" t="inlineStr">
        <is>
          <t>introducing_irrationals_and_real_number_system</t>
        </is>
      </c>
      <c r="F63" t="inlineStr">
        <is>
          <t>y8_num_01_introducing_irrationals_and_real_number_system_v2.html</t>
        </is>
      </c>
      <c r="G63" t="inlineStr">
        <is>
          <t>AC9M8N01</t>
        </is>
      </c>
      <c r="H63" t="inlineStr">
        <is>
          <t>1,4</t>
        </is>
      </c>
      <c r="I63" t="inlineStr">
        <is>
          <t>Strict</t>
        </is>
      </c>
      <c r="J63" t="inlineStr">
        <is>
          <t>Rational and irrational numbers can be expressed and represented in different forms depending on context and purpose</t>
        </is>
      </c>
      <c r="K63" t="inlineStr">
        <is>
          <t>Distinguish rational from irrational numbers; introduce π and √2 as familiar examples; locate irrational numbers on the real number line between consecutive rationals (e.g. 3.141 &lt; π &lt; 3.142); connect the constant ratio C÷d to π.</t>
        </is>
      </c>
      <c r="L63" t="inlineStr">
        <is>
          <t>auto-marked</t>
        </is>
      </c>
      <c r="N63" t="inlineStr">
        <is>
          <t>Published</t>
        </is>
      </c>
      <c r="P63" t="inlineStr">
        <is>
          <t>https://seager94.github.io/year-8/number/y8_num_01_introducing_irrationals_and_real_number_system_v2.html</t>
        </is>
      </c>
      <c r="Q63" t="inlineStr">
        <is>
          <t>Status reconciled from repo 2026-05-30 (generated date unconfirmed)</t>
        </is>
      </c>
    </row>
    <row r="64" ht="15" customHeight="1" s="1">
      <c r="A64" t="inlineStr">
        <is>
          <t>y8_num_02</t>
        </is>
      </c>
      <c r="B64" t="n">
        <v>8</v>
      </c>
      <c r="C64" t="inlineStr">
        <is>
          <t>Number</t>
        </is>
      </c>
      <c r="D64" t="n">
        <v>2</v>
      </c>
      <c r="E64" t="inlineStr">
        <is>
          <t>irrationals_in_context</t>
        </is>
      </c>
      <c r="F64" t="inlineStr">
        <is>
          <t>y8_num_02_irrationals_in_context_v2.html</t>
        </is>
      </c>
      <c r="G64" t="inlineStr">
        <is>
          <t>AC9M8N01</t>
        </is>
      </c>
      <c r="H64" t="inlineStr">
        <is>
          <t>2,3</t>
        </is>
      </c>
      <c r="I64" t="inlineStr">
        <is>
          <t>Strict</t>
        </is>
      </c>
      <c r="J64" t="inlineStr">
        <is>
          <t>Rational and irrational numbers can be expressed and represented in different forms depending on context and purpose</t>
        </is>
      </c>
      <c r="K64" t="inlineStr">
        <is>
          <t>Encounter irrationals through measurement — diagonal of a unit square, hypotenuse from a known area, ratios of A0/A1/A2/A3/A4 paper sizes, golden ratio in art and design; historical approximations of π across cultures.</t>
        </is>
      </c>
      <c r="L64" t="inlineStr">
        <is>
          <t>auto-marked + open-ended</t>
        </is>
      </c>
      <c r="M64" t="inlineStr">
        <is>
          <t>y8_num_01</t>
        </is>
      </c>
      <c r="N64" t="inlineStr">
        <is>
          <t>Published</t>
        </is>
      </c>
      <c r="P64" t="inlineStr">
        <is>
          <t>https://seager94.github.io/year-8/number/y8_num_02_irrationals_in_context_v2.html</t>
        </is>
      </c>
      <c r="Q64" t="inlineStr">
        <is>
          <t>Status reconciled from repo 2026-05-30 (generated date unconfirmed)</t>
        </is>
      </c>
    </row>
    <row r="65" ht="15" customHeight="1" s="1">
      <c r="A65" t="inlineStr">
        <is>
          <t>y8_num_03</t>
        </is>
      </c>
      <c r="B65" t="n">
        <v>8</v>
      </c>
      <c r="C65" t="inlineStr">
        <is>
          <t>Number</t>
        </is>
      </c>
      <c r="D65" t="n">
        <v>3</v>
      </c>
      <c r="E65" t="inlineStr">
        <is>
          <t>product_and_quotient_laws_of_exponents</t>
        </is>
      </c>
      <c r="F65" t="inlineStr">
        <is>
          <t>y8_num_03_product_and_quotient_laws_of_exponents_v2.html</t>
        </is>
      </c>
      <c r="G65" t="inlineStr">
        <is>
          <t>AC9M8N02</t>
        </is>
      </c>
      <c r="H65" t="inlineStr">
        <is>
          <t>1,3</t>
        </is>
      </c>
      <c r="I65" t="inlineStr">
        <is>
          <t>Strict</t>
        </is>
      </c>
      <c r="J65" t="inlineStr">
        <is>
          <t>Exponential laws describe patterns in operations involving exponential notation enabling efficient calculations</t>
        </is>
      </c>
      <c r="K65" t="inlineStr">
        <is>
          <t>Build the product rule aᵐ × aⁿ = aᵐ⁺ⁿ and quotient rule aᵐ ÷ aⁿ = aᵐ⁻ⁿ from expanded form; apply with positive integer exponents; emphasise that bases must match.</t>
        </is>
      </c>
      <c r="L65" t="inlineStr">
        <is>
          <t>auto-marked</t>
        </is>
      </c>
      <c r="N65" t="inlineStr">
        <is>
          <t>Published</t>
        </is>
      </c>
      <c r="P65" t="inlineStr">
        <is>
          <t>https://seager94.github.io/year-8/number/y8_num_03_product_and_quotient_laws_of_exponents_v2.html</t>
        </is>
      </c>
      <c r="Q65" t="inlineStr">
        <is>
          <t>Status reconciled from repo 2026-05-30 (generated date unconfirmed)</t>
        </is>
      </c>
    </row>
    <row r="66" ht="15" customHeight="1" s="1">
      <c r="A66" t="inlineStr">
        <is>
          <t>y8_num_04</t>
        </is>
      </c>
      <c r="B66" t="n">
        <v>8</v>
      </c>
      <c r="C66" t="inlineStr">
        <is>
          <t>Number</t>
        </is>
      </c>
      <c r="D66" t="n">
        <v>4</v>
      </c>
      <c r="E66" t="inlineStr">
        <is>
          <t>power_of_a_power_and_zero_exponent</t>
        </is>
      </c>
      <c r="F66" t="inlineStr">
        <is>
          <t>y8_num_04_power_of_a_power_and_zero_exponent_v2.html</t>
        </is>
      </c>
      <c r="G66" t="inlineStr">
        <is>
          <t>AC9M8N02</t>
        </is>
      </c>
      <c r="H66" t="inlineStr">
        <is>
          <t>1,4</t>
        </is>
      </c>
      <c r="I66" t="inlineStr">
        <is>
          <t>Strict</t>
        </is>
      </c>
      <c r="J66" t="inlineStr">
        <is>
          <t>Exponential laws describe patterns in operations involving exponential notation enabling efficient calculations</t>
        </is>
      </c>
      <c r="K66" t="inlineStr">
        <is>
          <t>Derive (aᵐ)ⁿ = aᵐ×ⁿ from expanded form; justify a⁰ = 1 using the quotient law (3⁴/3⁴ = 1 = 3⁰); build fluency with the four exponent laws so far.</t>
        </is>
      </c>
      <c r="L66" t="inlineStr">
        <is>
          <t>auto-marked</t>
        </is>
      </c>
      <c r="M66" t="inlineStr">
        <is>
          <t>y8_num_03</t>
        </is>
      </c>
      <c r="N66" t="inlineStr">
        <is>
          <t>Published</t>
        </is>
      </c>
      <c r="P66" t="inlineStr">
        <is>
          <t>https://seager94.github.io/year-8/number/y8_num_04_power_of_a_power_and_zero_exponent_v2.html</t>
        </is>
      </c>
      <c r="Q66" t="inlineStr">
        <is>
          <t>Status reconciled from repo 2026-05-30 (generated date unconfirmed)</t>
        </is>
      </c>
    </row>
    <row r="67" ht="15" customHeight="1" s="1">
      <c r="A67" t="inlineStr">
        <is>
          <t>y8_num_05</t>
        </is>
      </c>
      <c r="B67" t="n">
        <v>8</v>
      </c>
      <c r="C67" t="inlineStr">
        <is>
          <t>Number</t>
        </is>
      </c>
      <c r="D67" t="n">
        <v>5</v>
      </c>
      <c r="E67" t="inlineStr">
        <is>
          <t>combining_exponent_laws</t>
        </is>
      </c>
      <c r="F67" t="inlineStr">
        <is>
          <t>y8_num_05_combining_exponent_laws_v2.html</t>
        </is>
      </c>
      <c r="G67" t="inlineStr">
        <is>
          <t>AC9M8N02</t>
        </is>
      </c>
      <c r="H67" t="inlineStr">
        <is>
          <t>2,3</t>
        </is>
      </c>
      <c r="I67" t="inlineStr">
        <is>
          <t>Strict</t>
        </is>
      </c>
      <c r="J67" t="inlineStr">
        <is>
          <t>Exponential laws describe patterns in operations involving exponential notation enabling efficient calculations</t>
        </is>
      </c>
      <c r="K67" t="inlineStr">
        <is>
          <t>Apply multiple exponent laws in succession; cube-enlargement context (2 cm cube to 6 cm cube, volume increases by factor 27 = 3³); check that bases match before combining.</t>
        </is>
      </c>
      <c r="L67" t="inlineStr">
        <is>
          <t>auto-marked</t>
        </is>
      </c>
      <c r="M67" t="inlineStr">
        <is>
          <t>y8_num_03,y8_num_04</t>
        </is>
      </c>
      <c r="N67" t="inlineStr">
        <is>
          <t>Published</t>
        </is>
      </c>
      <c r="P67" t="inlineStr">
        <is>
          <t>https://seager94.github.io/year-8/number/y8_num_05_combining_exponent_laws_v2.html</t>
        </is>
      </c>
      <c r="Q67" t="inlineStr">
        <is>
          <t>Status reconciled from repo 2026-05-30 (generated date unconfirmed)</t>
        </is>
      </c>
    </row>
    <row r="68" ht="15" customHeight="1" s="1">
      <c r="A68" t="inlineStr">
        <is>
          <t>y8_num_06</t>
        </is>
      </c>
      <c r="B68" t="n">
        <v>8</v>
      </c>
      <c r="C68" t="inlineStr">
        <is>
          <t>Number</t>
        </is>
      </c>
      <c r="D68" t="n">
        <v>6</v>
      </c>
      <c r="E68" t="inlineStr">
        <is>
          <t>terminating_and_recurring_decimals</t>
        </is>
      </c>
      <c r="F68" t="inlineStr">
        <is>
          <t>y8_num_06_terminating_and_recurring_decimals_v2.html</t>
        </is>
      </c>
      <c r="G68" t="inlineStr">
        <is>
          <t>AC9M8N03</t>
        </is>
      </c>
      <c r="H68" t="inlineStr">
        <is>
          <t>1,2</t>
        </is>
      </c>
      <c r="I68" t="inlineStr">
        <is>
          <t>Strict</t>
        </is>
      </c>
      <c r="J68" t="inlineStr">
        <is>
          <t>Rational and irrational numbers can be expressed and represented in different forms depending on context and purpose</t>
        </is>
      </c>
      <c r="K68" t="inlineStr">
        <is>
          <t>Convert fractions to decimal forms; predict terminating vs recurring from the prime factorisation of the denominator (only 2s and 5s gives terminating); use dot notation for recurring decimals.</t>
        </is>
      </c>
      <c r="L68" t="inlineStr">
        <is>
          <t>auto-marked</t>
        </is>
      </c>
      <c r="M68" t="inlineStr">
        <is>
          <t>y8_num_03</t>
        </is>
      </c>
      <c r="N68" t="inlineStr">
        <is>
          <t>Published</t>
        </is>
      </c>
      <c r="P68" t="inlineStr">
        <is>
          <t>https://seager94.github.io/year-8/number/y8_num_06_terminating_and_recurring_decimals_v2.html</t>
        </is>
      </c>
      <c r="Q68" t="inlineStr">
        <is>
          <t>Status reconciled from repo 2026-05-30 (generated date unconfirmed)</t>
        </is>
      </c>
    </row>
    <row r="69" ht="15" customHeight="1" s="1">
      <c r="A69" t="inlineStr">
        <is>
          <t>y8_num_07</t>
        </is>
      </c>
      <c r="B69" t="n">
        <v>8</v>
      </c>
      <c r="C69" t="inlineStr">
        <is>
          <t>Number</t>
        </is>
      </c>
      <c r="D69" t="n">
        <v>7</v>
      </c>
      <c r="E69" t="inlineStr">
        <is>
          <t>multiplying_and_dividing_integers</t>
        </is>
      </c>
      <c r="F69" t="inlineStr">
        <is>
          <t>y8_num_07_multiplying_and_dividing_integers_v2.html</t>
        </is>
      </c>
      <c r="G69" t="inlineStr">
        <is>
          <t>AC9M8N04</t>
        </is>
      </c>
      <c r="H69" t="inlineStr">
        <is>
          <t>1,3</t>
        </is>
      </c>
      <c r="I69" t="inlineStr">
        <is>
          <t>Strict</t>
        </is>
      </c>
      <c r="J69" t="inlineStr">
        <is>
          <t>Rational and irrational numbers can be expressed and represented in different forms depending on context and purpose</t>
        </is>
      </c>
      <c r="K69" t="inlineStr">
        <is>
          <t>Establish sign rules for multiplication and division of integers using patterns; calculate products and quotients of signed integers; recognise the effect of sign in (-1)ⁿ.</t>
        </is>
      </c>
      <c r="L69" t="inlineStr">
        <is>
          <t>auto-marked</t>
        </is>
      </c>
      <c r="N69" t="inlineStr">
        <is>
          <t>Published</t>
        </is>
      </c>
      <c r="P69" t="inlineStr">
        <is>
          <t>https://seager94.github.io/year-8/number/y8_num_07_multiplying_and_dividing_integers_v2.html</t>
        </is>
      </c>
      <c r="Q69" t="inlineStr">
        <is>
          <t>Status reconciled from repo 2026-05-30 (generated date unconfirmed)</t>
        </is>
      </c>
    </row>
    <row r="70" ht="15" customHeight="1" s="1">
      <c r="A70" t="inlineStr">
        <is>
          <t>y8_num_08</t>
        </is>
      </c>
      <c r="B70" t="n">
        <v>8</v>
      </c>
      <c r="C70" t="inlineStr">
        <is>
          <t>Number</t>
        </is>
      </c>
      <c r="D70" t="n">
        <v>8</v>
      </c>
      <c r="E70" t="inlineStr">
        <is>
          <t>operations_with_rational_numbers</t>
        </is>
      </c>
      <c r="F70" t="inlineStr">
        <is>
          <t>y8_num_08_operations_with_rational_numbers_v2.html</t>
        </is>
      </c>
      <c r="G70" t="inlineStr">
        <is>
          <t>AC9M8N04</t>
        </is>
      </c>
      <c r="H70" t="inlineStr">
        <is>
          <t>2</t>
        </is>
      </c>
      <c r="I70" t="inlineStr">
        <is>
          <t>Strict</t>
        </is>
      </c>
      <c r="J70" t="inlineStr">
        <is>
          <t>Rational and irrational numbers can be expressed and represented in different forms depending on context and purpose</t>
        </is>
      </c>
      <c r="K70" t="inlineStr">
        <is>
          <t>Combine all four operations with positive and negative fractions and decimals; use commutative/associative regrouping for efficient calculation; flexible choice between fraction and decimal forms.</t>
        </is>
      </c>
      <c r="L70" t="inlineStr">
        <is>
          <t>auto-marked</t>
        </is>
      </c>
      <c r="M70" t="inlineStr">
        <is>
          <t>y8_num_07</t>
        </is>
      </c>
      <c r="N70" t="inlineStr">
        <is>
          <t>Published</t>
        </is>
      </c>
      <c r="P70" t="inlineStr">
        <is>
          <t>https://seager94.github.io/year-8/number/y8_num_08_operations_with_rational_numbers_v2.html</t>
        </is>
      </c>
      <c r="Q70" t="inlineStr">
        <is>
          <t>Status reconciled from repo 2026-05-30 (generated date unconfirmed)</t>
        </is>
      </c>
    </row>
    <row r="71" ht="15" customHeight="1" s="1">
      <c r="A71" t="inlineStr">
        <is>
          <t>y8_num_09</t>
        </is>
      </c>
      <c r="B71" t="n">
        <v>8</v>
      </c>
      <c r="C71" t="inlineStr">
        <is>
          <t>Number</t>
        </is>
      </c>
      <c r="D71" t="n">
        <v>9</v>
      </c>
      <c r="E71" t="inlineStr">
        <is>
          <t>percentage_increase_and_decrease</t>
        </is>
      </c>
      <c r="F71" t="inlineStr">
        <is>
          <t>y8_num_09_percentage_increase_and_decrease_v2.html</t>
        </is>
      </c>
      <c r="G71" t="inlineStr">
        <is>
          <t>AC9M8N05</t>
        </is>
      </c>
      <c r="H71" t="inlineStr">
        <is>
          <t>2,4</t>
        </is>
      </c>
      <c r="I71" t="inlineStr">
        <is>
          <t>Strict</t>
        </is>
      </c>
      <c r="J71" t="inlineStr">
        <is>
          <t>Mathematical modelling can be used to represent and solve practical problems, including in financial contexts, using rational numbers and percentages</t>
        </is>
      </c>
      <c r="K71" t="inlineStr">
        <is>
          <t>Calculate mark-ups, discounts and GST as percentage change; one-step multiplier method (×1.10 for 10% up); apply to multi-period contexts such as market trends, population change and recycling rates.</t>
        </is>
      </c>
      <c r="L71" t="inlineStr">
        <is>
          <t>auto-marked</t>
        </is>
      </c>
      <c r="N71" t="inlineStr">
        <is>
          <t>Published</t>
        </is>
      </c>
      <c r="P71" t="inlineStr">
        <is>
          <t>https://seager94.github.io/year-8/number/y8_num_09_percentage_increase_and_decrease_v2.html</t>
        </is>
      </c>
      <c r="Q71" t="inlineStr">
        <is>
          <t>Status reconciled from repo 2026-05-30 (generated date unconfirmed)</t>
        </is>
      </c>
    </row>
    <row r="72" ht="15" customHeight="1" s="1">
      <c r="A72" t="inlineStr">
        <is>
          <t>y8_num_10</t>
        </is>
      </c>
      <c r="B72" t="n">
        <v>8</v>
      </c>
      <c r="C72" t="inlineStr">
        <is>
          <t>Number</t>
        </is>
      </c>
      <c r="D72" t="n">
        <v>10</v>
      </c>
      <c r="E72" t="inlineStr">
        <is>
          <t>modelling_with_signed_rationals</t>
        </is>
      </c>
      <c r="F72" t="inlineStr">
        <is>
          <t>y8_num_10_modelling_with_signed_rationals_v2.html</t>
        </is>
      </c>
      <c r="G72" t="inlineStr">
        <is>
          <t>AC9M8N05</t>
        </is>
      </c>
      <c r="H72" t="inlineStr">
        <is>
          <t>1</t>
        </is>
      </c>
      <c r="I72" t="inlineStr">
        <is>
          <t>Strict</t>
        </is>
      </c>
      <c r="J72" t="inlineStr">
        <is>
          <t>Mathematical modelling can be used to represent and solve practical problems, including in financial contexts, using rational numbers and percentages</t>
        </is>
      </c>
      <c r="K72" t="inlineStr">
        <is>
          <t>Model real contexts using positive and negative rational quantities — daily temperature changes, sea depths and altitudes, average-temperature differences across seasons.</t>
        </is>
      </c>
      <c r="L72" t="inlineStr">
        <is>
          <t>auto-marked + open-ended</t>
        </is>
      </c>
      <c r="M72" t="inlineStr">
        <is>
          <t>y8_num_07,y8_num_08</t>
        </is>
      </c>
      <c r="N72" t="inlineStr">
        <is>
          <t>Published</t>
        </is>
      </c>
      <c r="P72" t="inlineStr">
        <is>
          <t>https://seager94.github.io/year-8/number/y8_num_10_modelling_with_signed_rationals_v2.html</t>
        </is>
      </c>
      <c r="Q72" t="inlineStr">
        <is>
          <t>Status reconciled from repo 2026-05-30 (generated date unconfirmed)</t>
        </is>
      </c>
    </row>
    <row r="73" ht="15" customHeight="1" s="1">
      <c r="A73" t="inlineStr">
        <is>
          <t>y8_num_11</t>
        </is>
      </c>
      <c r="B73" t="n">
        <v>8</v>
      </c>
      <c r="C73" t="inlineStr">
        <is>
          <t>Number</t>
        </is>
      </c>
      <c r="D73" t="n">
        <v>11</v>
      </c>
      <c r="E73" t="inlineStr">
        <is>
          <t>financial_modelling_income_tax</t>
        </is>
      </c>
      <c r="F73" t="inlineStr">
        <is>
          <t>y8_num_11_financial_modelling_income_tax_v2.html</t>
        </is>
      </c>
      <c r="G73" t="inlineStr">
        <is>
          <t>AC9M8N05, AC9M8M05</t>
        </is>
      </c>
      <c r="H73" t="inlineStr">
        <is>
          <t>3 (N05); 4 (M05)</t>
        </is>
      </c>
      <c r="I73" t="inlineStr">
        <is>
          <t>Strict + cross-tag</t>
        </is>
      </c>
      <c r="J73" t="inlineStr">
        <is>
          <t>Mathematical modelling can be used to represent and solve practical problems, including in financial contexts, using rational numbers and percentages</t>
        </is>
      </c>
      <c r="K73" t="inlineStr">
        <is>
          <t>Use marginal tax tables to compute personal income tax at various income levels; calculate the overall percentage of income paid as tax; compare effective tax rates across incomes.</t>
        </is>
      </c>
      <c r="L73" t="inlineStr">
        <is>
          <t>auto-marked + open-ended</t>
        </is>
      </c>
      <c r="M73" t="inlineStr">
        <is>
          <t>y8_num_09</t>
        </is>
      </c>
      <c r="N73" t="inlineStr">
        <is>
          <t>Published</t>
        </is>
      </c>
      <c r="P73" t="inlineStr">
        <is>
          <t>https://seager94.github.io/year-8/number/y8_num_11_financial_modelling_income_tax_v2.html</t>
        </is>
      </c>
      <c r="Q73" t="inlineStr">
        <is>
          <t>Status reconciled from repo 2026-05-30 (generated date unconfirmed)</t>
        </is>
      </c>
    </row>
    <row r="74" ht="15" customHeight="1" s="1">
      <c r="A74" t="inlineStr">
        <is>
          <t>y8_alg_01</t>
        </is>
      </c>
      <c r="B74" t="n">
        <v>8</v>
      </c>
      <c r="C74" t="inlineStr">
        <is>
          <t>Algebra</t>
        </is>
      </c>
      <c r="D74" t="n">
        <v>1</v>
      </c>
      <c r="E74" t="inlineStr">
        <is>
          <t>collecting_like_terms</t>
        </is>
      </c>
      <c r="F74" t="inlineStr">
        <is>
          <t>y8_alg_01_collecting_like_terms_v2.html</t>
        </is>
      </c>
      <c r="G74" t="inlineStr">
        <is>
          <t>AC9M8A01</t>
        </is>
      </c>
      <c r="H74" t="inlineStr">
        <is>
          <t>1,3</t>
        </is>
      </c>
      <c r="I74" t="inlineStr">
        <is>
          <t>Strict</t>
        </is>
      </c>
      <c r="J74" t="inlineStr">
        <is>
          <t>Equivalent algebraic expressions and solutions to equations can be determined by applying properties of mathematical operations and numbers</t>
        </is>
      </c>
      <c r="K74" t="inlineStr">
        <is>
          <t>Simplify expressions by collecting like terms with integer coefficients, including multi-variable expressions like 5m + 10n + 3m − 4n; use algebra tiles to justify each step; identity and inverse properties named explicitly.</t>
        </is>
      </c>
      <c r="L74" t="inlineStr">
        <is>
          <t>auto-marked</t>
        </is>
      </c>
      <c r="N74" t="inlineStr">
        <is>
          <t>Published</t>
        </is>
      </c>
      <c r="P74" t="inlineStr">
        <is>
          <t>https://seager94.github.io/year-8/algebra/y8_alg_01_collecting_like_terms_v2.html</t>
        </is>
      </c>
      <c r="Q74" t="inlineStr">
        <is>
          <t>Status reconciled from repo 2026-05-30 (generated date unconfirmed)</t>
        </is>
      </c>
    </row>
    <row r="75" ht="15" customHeight="1" s="1">
      <c r="A75" t="inlineStr">
        <is>
          <t>y8_alg_02</t>
        </is>
      </c>
      <c r="B75" t="n">
        <v>8</v>
      </c>
      <c r="C75" t="inlineStr">
        <is>
          <t>Algebra</t>
        </is>
      </c>
      <c r="D75" t="n">
        <v>2</v>
      </c>
      <c r="E75" t="inlineStr">
        <is>
          <t>expanding_brackets</t>
        </is>
      </c>
      <c r="F75" t="inlineStr">
        <is>
          <t>y8_alg_02_expanding_brackets_v2.html</t>
        </is>
      </c>
      <c r="G75" t="inlineStr">
        <is>
          <t>AC9M8A01</t>
        </is>
      </c>
      <c r="H75" t="inlineStr">
        <is>
          <t>1,2,3</t>
        </is>
      </c>
      <c r="I75" t="inlineStr">
        <is>
          <t>Strict</t>
        </is>
      </c>
      <c r="J75" t="inlineStr">
        <is>
          <t>Equivalent algebraic expressions and solutions to equations can be determined by applying properties of mathematical operations and numbers</t>
        </is>
      </c>
      <c r="K75" t="inlineStr">
        <is>
          <t>Apply the distributive property to expand a(b + c) and a(b − c); use area models and algebra tiles to justify; expressions such as 3(a − b) = 3a − 3b and −2(x + 5) = −2x − 10.</t>
        </is>
      </c>
      <c r="L75" t="inlineStr">
        <is>
          <t>auto-marked</t>
        </is>
      </c>
      <c r="M75" t="inlineStr">
        <is>
          <t>y8_alg_01</t>
        </is>
      </c>
      <c r="N75" t="inlineStr">
        <is>
          <t>Published</t>
        </is>
      </c>
      <c r="P75" t="inlineStr">
        <is>
          <t>https://seager94.github.io/year-8/algebra/y8_alg_02_expanding_brackets_v2.html</t>
        </is>
      </c>
      <c r="Q75" t="inlineStr">
        <is>
          <t>Status reconciled from repo 2026-05-30 (generated date unconfirmed)</t>
        </is>
      </c>
    </row>
    <row r="76" ht="15" customHeight="1" s="1">
      <c r="A76" t="inlineStr">
        <is>
          <t>y8_alg_03</t>
        </is>
      </c>
      <c r="B76" t="n">
        <v>8</v>
      </c>
      <c r="C76" t="inlineStr">
        <is>
          <t>Algebra</t>
        </is>
      </c>
      <c r="D76" t="n">
        <v>3</v>
      </c>
      <c r="E76" t="inlineStr">
        <is>
          <t>factorising_linear_expressions</t>
        </is>
      </c>
      <c r="F76" t="inlineStr">
        <is>
          <t>y8_alg_03_factorising_linear_expressions_v2.html</t>
        </is>
      </c>
      <c r="G76" t="inlineStr">
        <is>
          <t>AC9M8A01</t>
        </is>
      </c>
      <c r="H76" t="inlineStr">
        <is>
          <t>2,3</t>
        </is>
      </c>
      <c r="I76" t="inlineStr">
        <is>
          <t>Strict</t>
        </is>
      </c>
      <c r="J76" t="inlineStr">
        <is>
          <t>Equivalent algebraic expressions and solutions to equations can be determined by applying properties of mathematical operations and numbers</t>
        </is>
      </c>
      <c r="K76" t="inlineStr">
        <is>
          <t>Reverse expanding by identifying the highest common factor; rewrite expressions like 2x + 4 as 2(x + 2) and 6a − 9 as 3(2a − 3); confirm by re-expanding.</t>
        </is>
      </c>
      <c r="L76" t="inlineStr">
        <is>
          <t>auto-marked</t>
        </is>
      </c>
      <c r="M76" t="inlineStr">
        <is>
          <t>y8_alg_02</t>
        </is>
      </c>
      <c r="N76" t="inlineStr">
        <is>
          <t>Published</t>
        </is>
      </c>
      <c r="P76" t="inlineStr">
        <is>
          <t>https://seager94.github.io/year-8/algebra/y8_alg_03_factorising_linear_expressions_v2.html</t>
        </is>
      </c>
      <c r="Q76" t="inlineStr">
        <is>
          <t>Status reconciled from repo 2026-05-30 (generated date unconfirmed)</t>
        </is>
      </c>
    </row>
    <row r="77" ht="15" customHeight="1" s="1">
      <c r="A77" t="inlineStr">
        <is>
          <t>y8_alg_04</t>
        </is>
      </c>
      <c r="B77" t="n">
        <v>8</v>
      </c>
      <c r="C77" t="inlineStr">
        <is>
          <t>Algebra</t>
        </is>
      </c>
      <c r="D77" t="n">
        <v>4</v>
      </c>
      <c r="E77" t="inlineStr">
        <is>
          <t>combining_expanding_simplifying</t>
        </is>
      </c>
      <c r="F77" t="inlineStr">
        <is>
          <t>y8_alg_04_combining_expanding_simplifying_v2.html</t>
        </is>
      </c>
      <c r="G77" t="inlineStr">
        <is>
          <t>AC9M8A01</t>
        </is>
      </c>
      <c r="H77" t="inlineStr">
        <is>
          <t>1,3</t>
        </is>
      </c>
      <c r="I77" t="inlineStr">
        <is>
          <t>Strict</t>
        </is>
      </c>
      <c r="J77" t="inlineStr">
        <is>
          <t>Equivalent algebraic expressions and solutions to equations can be determined by applying properties of mathematical operations and numbers</t>
        </is>
      </c>
      <c r="K77" t="inlineStr">
        <is>
          <t>Coordinate expanding, simplifying and collecting like terms in multi-step problems like 5(m + 2n) + 3m − 4n; write equivalent forms strategically; verify by substituting a test value.</t>
        </is>
      </c>
      <c r="L77" t="inlineStr">
        <is>
          <t>auto-marked</t>
        </is>
      </c>
      <c r="M77" t="inlineStr">
        <is>
          <t>y8_alg_02,y8_alg_03</t>
        </is>
      </c>
      <c r="N77" t="inlineStr">
        <is>
          <t>Published</t>
        </is>
      </c>
      <c r="P77" t="inlineStr">
        <is>
          <t>https://seager94.github.io/year-8/algebra/y8_alg_04_combining_expanding_simplifying_v2.html</t>
        </is>
      </c>
      <c r="Q77" t="inlineStr">
        <is>
          <t>Status reconciled from repo 2026-05-30 (generated date unconfirmed)</t>
        </is>
      </c>
    </row>
    <row r="78" ht="15" customHeight="1" s="1">
      <c r="A78" t="inlineStr">
        <is>
          <t>y8_alg_05</t>
        </is>
      </c>
      <c r="B78" t="n">
        <v>8</v>
      </c>
      <c r="C78" t="inlineStr">
        <is>
          <t>Algebra</t>
        </is>
      </c>
      <c r="D78" t="n">
        <v>5</v>
      </c>
      <c r="E78" t="inlineStr">
        <is>
          <t>linear_relationships_in_tables_and_graphs</t>
        </is>
      </c>
      <c r="F78" t="inlineStr">
        <is>
          <t>y8_alg_05_linear_relationships_in_tables_and_graphs_v2.html</t>
        </is>
      </c>
      <c r="G78" t="inlineStr">
        <is>
          <t>AC9M8A02</t>
        </is>
      </c>
      <c r="H78" t="inlineStr">
        <is>
          <t>1,3</t>
        </is>
      </c>
      <c r="I78" t="inlineStr">
        <is>
          <t>Strict</t>
        </is>
      </c>
      <c r="J78" t="inlineStr">
        <is>
          <t>Linear relations between two variables can be represented algebraically and graphically, leading to generalised patterns and conjectures</t>
        </is>
      </c>
      <c r="K78" t="inlineStr">
        <is>
          <t>Recognise linearity from a constant first difference in a table of values; complete tables from rules; plot ordered pairs and verify points lie on a straight line.</t>
        </is>
      </c>
      <c r="L78" t="inlineStr">
        <is>
          <t>auto-marked</t>
        </is>
      </c>
      <c r="N78" t="inlineStr">
        <is>
          <t>Published</t>
        </is>
      </c>
      <c r="P78" t="inlineStr">
        <is>
          <t>https://seager94.github.io/year-8/algebra/y8_alg_05_linear_relationships_in_tables_and_graphs_v2.html</t>
        </is>
      </c>
      <c r="Q78" t="inlineStr">
        <is>
          <t>Status reconciled from repo 2026-05-30 (generated date unconfirmed)</t>
        </is>
      </c>
    </row>
    <row r="79" ht="15" customHeight="1" s="1">
      <c r="A79" t="inlineStr">
        <is>
          <t>y8_alg_06</t>
        </is>
      </c>
      <c r="B79" t="n">
        <v>8</v>
      </c>
      <c r="C79" t="inlineStr">
        <is>
          <t>Algebra</t>
        </is>
      </c>
      <c r="D79" t="n">
        <v>6</v>
      </c>
      <c r="E79" t="inlineStr">
        <is>
          <t>graphing_horizontal_vertical_lines_and_regions</t>
        </is>
      </c>
      <c r="F79" t="inlineStr">
        <is>
          <t>y8_alg_06_graphing_horizontal_vertical_lines_and_regions_v2.html</t>
        </is>
      </c>
      <c r="G79" t="inlineStr">
        <is>
          <t>AC9M8A02</t>
        </is>
      </c>
      <c r="H79" t="inlineStr">
        <is>
          <t>2</t>
        </is>
      </c>
      <c r="I79" t="inlineStr">
        <is>
          <t>Strict</t>
        </is>
      </c>
      <c r="J79" t="inlineStr">
        <is>
          <t>Linear relations between two variables can be represented algebraically and graphically, leading to generalised patterns and conjectures</t>
        </is>
      </c>
      <c r="K79" t="inlineStr">
        <is>
          <t>Graph lines of the form x = a and y = a; graph and shade inequality regions x ≤ a, x &gt; a, y ≤ a, y &gt; a on the Cartesian plane; recognise the conventions for solid and dashed boundary lines.</t>
        </is>
      </c>
      <c r="L79" t="inlineStr">
        <is>
          <t>auto-marked</t>
        </is>
      </c>
      <c r="M79" t="inlineStr">
        <is>
          <t>y8_alg_05</t>
        </is>
      </c>
      <c r="N79" t="inlineStr">
        <is>
          <t>Planned</t>
        </is>
      </c>
    </row>
    <row r="80" ht="15" customHeight="1" s="1">
      <c r="A80" t="inlineStr">
        <is>
          <t>y8_alg_07</t>
        </is>
      </c>
      <c r="B80" t="n">
        <v>8</v>
      </c>
      <c r="C80" t="inlineStr">
        <is>
          <t>Algebra</t>
        </is>
      </c>
      <c r="D80" t="n">
        <v>7</v>
      </c>
      <c r="E80" t="inlineStr">
        <is>
          <t>solving_linear_equations_algebraically</t>
        </is>
      </c>
      <c r="F80" t="inlineStr">
        <is>
          <t>y8_alg_07_solving_linear_equations_algebraically_v2.html</t>
        </is>
      </c>
      <c r="G80" t="inlineStr">
        <is>
          <t>AC9M8A02</t>
        </is>
      </c>
      <c r="H80" t="inlineStr">
        <is>
          <t>5</t>
        </is>
      </c>
      <c r="I80" t="inlineStr">
        <is>
          <t>Strict</t>
        </is>
      </c>
      <c r="J80" t="inlineStr">
        <is>
          <t>Linear relations between two variables can be represented algebraically and graphically, leading to generalised patterns and conjectures</t>
        </is>
      </c>
      <c r="K80" t="inlineStr">
        <is>
          <t>Solve ax + b = c using inverse operations; verify solutions by substitution; extend to two-step rearrangements with both positive and negative coefficients of x.</t>
        </is>
      </c>
      <c r="L80" t="inlineStr">
        <is>
          <t>auto-marked</t>
        </is>
      </c>
      <c r="M80" t="inlineStr">
        <is>
          <t>y8_alg_03</t>
        </is>
      </c>
      <c r="N80" t="inlineStr">
        <is>
          <t>Published</t>
        </is>
      </c>
      <c r="P80" t="inlineStr">
        <is>
          <t>https://seager94.github.io/year-8/algebra/y8_alg_07_solving_linear_equations_algebraically_v2.html</t>
        </is>
      </c>
      <c r="Q80" t="inlineStr">
        <is>
          <t>Status reconciled from repo 2026-05-30 (generated date unconfirmed)</t>
        </is>
      </c>
    </row>
    <row r="81" ht="15" customHeight="1" s="1">
      <c r="A81" t="inlineStr">
        <is>
          <t>y8_alg_08</t>
        </is>
      </c>
      <c r="B81" t="n">
        <v>8</v>
      </c>
      <c r="C81" t="inlineStr">
        <is>
          <t>Algebra</t>
        </is>
      </c>
      <c r="D81" t="n">
        <v>8</v>
      </c>
      <c r="E81" t="inlineStr">
        <is>
          <t>solving_one_variable_inequalities</t>
        </is>
      </c>
      <c r="F81" t="inlineStr">
        <is>
          <t>y8_alg_08_solving_one_variable_inequalities_v2.html</t>
        </is>
      </c>
      <c r="G81" t="inlineStr">
        <is>
          <t>AC9M8A02</t>
        </is>
      </c>
      <c r="H81" t="inlineStr">
        <is>
          <t>4,5</t>
        </is>
      </c>
      <c r="I81" t="inlineStr">
        <is>
          <t>Strict</t>
        </is>
      </c>
      <c r="J81" t="inlineStr">
        <is>
          <t>Linear relations between two variables can be represented algebraically and graphically, leading to generalised patterns and conjectures</t>
        </is>
      </c>
      <c r="K81" t="inlineStr">
        <is>
          <t>Solve ax + b &lt; c and ax + b &gt; c using inverse operations (a &gt; 0); represent solutions on a number line; check with a test value; graphical interpretation as the region where the line is above or below c.</t>
        </is>
      </c>
      <c r="L81" t="inlineStr">
        <is>
          <t>auto-marked</t>
        </is>
      </c>
      <c r="M81" t="inlineStr">
        <is>
          <t>y8_alg_07</t>
        </is>
      </c>
      <c r="N81" t="inlineStr">
        <is>
          <t>Published</t>
        </is>
      </c>
      <c r="P81" t="inlineStr">
        <is>
          <t>https://seager94.github.io/year-8/algebra/y8_alg_08_solving_one_variable_inequalities_v2.html</t>
        </is>
      </c>
      <c r="Q81" t="inlineStr">
        <is>
          <t>Status reconciled from repo 2026-05-30 (generated date unconfirmed)</t>
        </is>
      </c>
    </row>
    <row r="82" ht="15" customHeight="1" s="1">
      <c r="A82" t="inlineStr">
        <is>
          <t>y8_alg_09</t>
        </is>
      </c>
      <c r="B82" t="n">
        <v>8</v>
      </c>
      <c r="C82" t="inlineStr">
        <is>
          <t>Algebra</t>
        </is>
      </c>
      <c r="D82" t="n">
        <v>9</v>
      </c>
      <c r="E82" t="inlineStr">
        <is>
          <t>equations_with_variables_on_both_sides</t>
        </is>
      </c>
      <c r="F82" t="inlineStr">
        <is>
          <t>y8_alg_09_equations_with_variables_on_both_sides_v2.html</t>
        </is>
      </c>
      <c r="G82" t="inlineStr">
        <is>
          <t>AC9M8A02</t>
        </is>
      </c>
      <c r="H82" t="inlineStr">
        <is>
          <t>6</t>
        </is>
      </c>
      <c r="I82" t="inlineStr">
        <is>
          <t>Strict</t>
        </is>
      </c>
      <c r="J82" t="inlineStr">
        <is>
          <t>Linear relations between two variables can be represented algebraically and graphically, leading to generalised patterns and conjectures</t>
        </is>
      </c>
      <c r="K82" t="inlineStr">
        <is>
          <t>Solve equations like 3x + 7 = 6x − 9 by collecting variables on one side; verify by substitution and visualise graphically as the intersection of two lines.</t>
        </is>
      </c>
      <c r="L82" t="inlineStr">
        <is>
          <t>auto-marked</t>
        </is>
      </c>
      <c r="M82" t="inlineStr">
        <is>
          <t>y8_alg_07</t>
        </is>
      </c>
      <c r="N82" t="inlineStr">
        <is>
          <t>Published</t>
        </is>
      </c>
      <c r="P82" t="inlineStr">
        <is>
          <t>https://seager94.github.io/year-8/algebra/y8_alg_09_equations_with_variables_on_both_sides_v2.html</t>
        </is>
      </c>
      <c r="Q82" t="inlineStr">
        <is>
          <t>Status reconciled from repo 2026-05-30 (generated date unconfirmed)</t>
        </is>
      </c>
    </row>
    <row r="83" ht="15" customHeight="1" s="1">
      <c r="A83" t="inlineStr">
        <is>
          <t>y8_alg_10</t>
        </is>
      </c>
      <c r="B83" t="n">
        <v>8</v>
      </c>
      <c r="C83" t="inlineStr">
        <is>
          <t>Algebra</t>
        </is>
      </c>
      <c r="D83" t="n">
        <v>10</v>
      </c>
      <c r="E83" t="inlineStr">
        <is>
          <t>modelling_with_linear_functions</t>
        </is>
      </c>
      <c r="F83" t="inlineStr">
        <is>
          <t>y8_alg_10_modelling_with_linear_functions_v2.html</t>
        </is>
      </c>
      <c r="G83" t="inlineStr">
        <is>
          <t>AC9M8A03</t>
        </is>
      </c>
      <c r="H83" t="inlineStr">
        <is>
          <t>1,2,4</t>
        </is>
      </c>
      <c r="I83" t="inlineStr">
        <is>
          <t>Strict</t>
        </is>
      </c>
      <c r="J83" t="inlineStr">
        <is>
          <t>Linear relations between two variables can be represented algebraically and graphically, leading to generalised patterns and conjectures</t>
        </is>
      </c>
      <c r="K83" t="inlineStr">
        <is>
          <t>Model contexts with linear functions — taxi fares with flag-fall fee, water tank drainage, trade quotes with call-out fees; interpret slope as rate of change and y-intercept as starting value; check validity (e.g. once tank is empty, no more flows).</t>
        </is>
      </c>
      <c r="L83" t="inlineStr">
        <is>
          <t>auto-marked + open-ended</t>
        </is>
      </c>
      <c r="M83" t="inlineStr">
        <is>
          <t>y8_alg_07</t>
        </is>
      </c>
      <c r="N83" t="inlineStr">
        <is>
          <t>Published</t>
        </is>
      </c>
      <c r="P83" t="inlineStr">
        <is>
          <t>https://seager94.github.io/year-8/algebra/y8_alg_10_modelling_with_linear_functions_v2.html</t>
        </is>
      </c>
      <c r="Q83" t="inlineStr">
        <is>
          <t>Status reconciled from repo 2026-05-30 (generated date unconfirmed)</t>
        </is>
      </c>
    </row>
    <row r="84" ht="15" customHeight="1" s="1">
      <c r="A84" t="inlineStr">
        <is>
          <t>y8_alg_11</t>
        </is>
      </c>
      <c r="B84" t="n">
        <v>8</v>
      </c>
      <c r="C84" t="inlineStr">
        <is>
          <t>Algebra</t>
        </is>
      </c>
      <c r="D84" t="n">
        <v>11</v>
      </c>
      <c r="E84" t="inlineStr">
        <is>
          <t>modelling_pay_rates_and_income</t>
        </is>
      </c>
      <c r="F84" t="inlineStr">
        <is>
          <t>y8_alg_11_modelling_pay_rates_and_income_v2.html</t>
        </is>
      </c>
      <c r="G84" t="inlineStr">
        <is>
          <t>AC9M8A03</t>
        </is>
      </c>
      <c r="H84" t="inlineStr">
        <is>
          <t>3</t>
        </is>
      </c>
      <c r="I84" t="inlineStr">
        <is>
          <t>Strict</t>
        </is>
      </c>
      <c r="J84" t="inlineStr">
        <is>
          <t>Linear relations between two variables can be represented algebraically and graphically, leading to generalised patterns and conjectures</t>
        </is>
      </c>
      <c r="K84" t="inlineStr">
        <is>
          <t>Use tables of values and graphs to represent pay-rate relationships; calculate weekly earnings from hourly rates including overtime; compare casual and salaried pay structures.</t>
        </is>
      </c>
      <c r="L84" t="inlineStr">
        <is>
          <t>auto-marked + open-ended</t>
        </is>
      </c>
      <c r="M84" t="inlineStr">
        <is>
          <t>y8_alg_10</t>
        </is>
      </c>
      <c r="N84" t="inlineStr">
        <is>
          <t>Published</t>
        </is>
      </c>
      <c r="P84" t="inlineStr">
        <is>
          <t>https://seager94.github.io/year-8/algebra/y8_alg_11_modelling_pay_rates_and_income_v2.html</t>
        </is>
      </c>
      <c r="Q84" t="inlineStr">
        <is>
          <t>Status reconciled from repo 2026-05-30 (generated date unconfirmed)</t>
        </is>
      </c>
    </row>
    <row r="85" ht="15" customHeight="1" s="1">
      <c r="A85" t="inlineStr">
        <is>
          <t>y8_alg_12</t>
        </is>
      </c>
      <c r="B85" t="n">
        <v>8</v>
      </c>
      <c r="C85" t="inlineStr">
        <is>
          <t>Algebra</t>
        </is>
      </c>
      <c r="D85" t="n">
        <v>12</v>
      </c>
      <c r="E85" t="inlineStr">
        <is>
          <t>investigating_linear_function_parameters</t>
        </is>
      </c>
      <c r="F85" t="inlineStr">
        <is>
          <t>y8_alg_12_investigating_linear_function_parameters_v2.html</t>
        </is>
      </c>
      <c r="G85" t="inlineStr">
        <is>
          <t>AC9M8A04</t>
        </is>
      </c>
      <c r="H85" t="inlineStr">
        <is>
          <t>1,2,3</t>
        </is>
      </c>
      <c r="I85" t="inlineStr">
        <is>
          <t>Strict</t>
        </is>
      </c>
      <c r="J85" t="inlineStr">
        <is>
          <t>Linear relations between two variables can be represented algebraically and graphically, leading to generalised patterns and conjectures</t>
        </is>
      </c>
      <c r="K85" t="inlineStr">
        <is>
          <t>Use graphing software to vary parameters of y = mx + c systematically; form and test conjectures about slope direction and y-intercept; explore integer solutions to 2x + 3y = 48.</t>
        </is>
      </c>
      <c r="L85" t="inlineStr">
        <is>
          <t>auto-marked + open-ended</t>
        </is>
      </c>
      <c r="M85" t="inlineStr">
        <is>
          <t>y8_alg_05,y8_alg_07</t>
        </is>
      </c>
      <c r="N85" t="inlineStr">
        <is>
          <t>Published</t>
        </is>
      </c>
      <c r="P85" t="inlineStr">
        <is>
          <t>https://seager94.github.io/year-8/algebra/y8_alg_12_investigating_linear_function_parameters_v2.html</t>
        </is>
      </c>
      <c r="Q85" t="inlineStr">
        <is>
          <t>Status reconciled from repo 2026-05-30 (generated date unconfirmed)</t>
        </is>
      </c>
    </row>
    <row r="86" ht="15" customHeight="1" s="1">
      <c r="A86" t="inlineStr">
        <is>
          <t>y8_mea_01</t>
        </is>
      </c>
      <c r="B86" t="n">
        <v>8</v>
      </c>
      <c r="C86" t="inlineStr">
        <is>
          <t>Measurement</t>
        </is>
      </c>
      <c r="D86" t="inlineStr">
        <is>
          <t>01</t>
        </is>
      </c>
      <c r="E86" t="inlineStr">
        <is>
          <t>perimeter_composite_shapes</t>
        </is>
      </c>
      <c r="F86" t="inlineStr">
        <is>
          <t>y8_mea_01_perimeter_composite_shapes_v2.html</t>
        </is>
      </c>
      <c r="G86" t="inlineStr">
        <is>
          <t>AC9M8M01</t>
        </is>
      </c>
      <c r="H86" t="inlineStr">
        <is>
          <t>3</t>
        </is>
      </c>
      <c r="I86" t="inlineStr">
        <is>
          <t>Strict</t>
        </is>
      </c>
      <c r="J86" t="inlineStr">
        <is>
          <t>Attributes such as length, area, volume, rates and angles of 1-, 2- and 3-dimensional objects including irregular and composite shapes can be quantified with appropriate units and used to solve problems in a range of contexts</t>
        </is>
      </c>
      <c r="K86" t="inlineStr">
        <is>
          <t>Perimeter composite shapes</t>
        </is>
      </c>
      <c r="L86" t="inlineStr">
        <is>
          <t>auto-marked</t>
        </is>
      </c>
      <c r="N86" t="inlineStr">
        <is>
          <t>Published</t>
        </is>
      </c>
      <c r="P86" t="inlineStr">
        <is>
          <t>https://seager94.github.io/year-8/measurement/y8_mea_01_perimeter_composite_shapes_v2.html</t>
        </is>
      </c>
      <c r="Q86" t="inlineStr">
        <is>
          <t>Reconciled from file meta 2026-05-30</t>
        </is>
      </c>
    </row>
    <row r="87" ht="15" customHeight="1" s="1">
      <c r="A87" t="inlineStr">
        <is>
          <t>y8_mea_02</t>
        </is>
      </c>
      <c r="B87" t="n">
        <v>8</v>
      </c>
      <c r="C87" t="inlineStr">
        <is>
          <t>Measurement</t>
        </is>
      </c>
      <c r="D87" t="inlineStr">
        <is>
          <t>02</t>
        </is>
      </c>
      <c r="E87" t="inlineStr">
        <is>
          <t>area_composite_irregular_shapes</t>
        </is>
      </c>
      <c r="F87" t="inlineStr">
        <is>
          <t>y8_mea_02_area_composite_irregular_shapes_v2.html</t>
        </is>
      </c>
      <c r="G87" t="inlineStr">
        <is>
          <t>AC9M8M01</t>
        </is>
      </c>
      <c r="H87" t="inlineStr">
        <is>
          <t>1,2,3</t>
        </is>
      </c>
      <c r="I87" t="inlineStr">
        <is>
          <t>Strict</t>
        </is>
      </c>
      <c r="J87" t="inlineStr">
        <is>
          <t>Attributes such as length, area, volume, rates and angles of 1-, 2- and 3-dimensional objects including irregular and composite shapes can be quantified with appropriate units and used to solve problems in a range of contexts</t>
        </is>
      </c>
      <c r="K87" t="inlineStr">
        <is>
          <t>Area composite irregular shapes</t>
        </is>
      </c>
      <c r="L87" t="inlineStr">
        <is>
          <t>auto-marked</t>
        </is>
      </c>
      <c r="N87" t="inlineStr">
        <is>
          <t>Published</t>
        </is>
      </c>
      <c r="P87" t="inlineStr">
        <is>
          <t>https://seager94.github.io/year-8/measurement/y8_mea_02_area_composite_irregular_shapes_v2.html</t>
        </is>
      </c>
      <c r="Q87" t="inlineStr">
        <is>
          <t>Reconciled from file meta 2026-05-30</t>
        </is>
      </c>
    </row>
    <row r="88" ht="15" customHeight="1" s="1">
      <c r="A88" t="inlineStr">
        <is>
          <t>y8_mea_03</t>
        </is>
      </c>
      <c r="B88" t="n">
        <v>8</v>
      </c>
      <c r="C88" t="inlineStr">
        <is>
          <t>Measurement</t>
        </is>
      </c>
      <c r="D88" t="inlineStr">
        <is>
          <t>03</t>
        </is>
      </c>
      <c r="E88" t="inlineStr">
        <is>
          <t>circumference_of_a_circle</t>
        </is>
      </c>
      <c r="F88" t="inlineStr">
        <is>
          <t>y8_mea_03_circumference_of_a_circle_v2.html</t>
        </is>
      </c>
      <c r="G88" t="inlineStr">
        <is>
          <t>AC9M8M03</t>
        </is>
      </c>
      <c r="H88" t="inlineStr">
        <is>
          <t>3</t>
        </is>
      </c>
      <c r="I88" t="inlineStr">
        <is>
          <t>Strict</t>
        </is>
      </c>
      <c r="J88" t="inlineStr">
        <is>
          <t>Attributes such as length, area, volume, rates and angles of 1-, 2- and 3-dimensional objects including irregular and composite shapes can be quantified with appropriate units and used to solve problems in a range of contexts</t>
        </is>
      </c>
      <c r="K88" t="inlineStr">
        <is>
          <t>Circumference of a circle</t>
        </is>
      </c>
      <c r="L88" t="inlineStr">
        <is>
          <t>auto-marked</t>
        </is>
      </c>
      <c r="N88" t="inlineStr">
        <is>
          <t>Published</t>
        </is>
      </c>
      <c r="P88" t="inlineStr">
        <is>
          <t>https://seager94.github.io/year-8/measurement/y8_mea_03_circumference_of_a_circle_v2.html</t>
        </is>
      </c>
      <c r="Q88" t="inlineStr">
        <is>
          <t>Reconciled from file meta 2026-05-30</t>
        </is>
      </c>
    </row>
    <row r="89" ht="15" customHeight="1" s="1">
      <c r="A89" t="inlineStr">
        <is>
          <t>y8_mea_04</t>
        </is>
      </c>
      <c r="B89" t="n">
        <v>8</v>
      </c>
      <c r="C89" t="inlineStr">
        <is>
          <t>Measurement</t>
        </is>
      </c>
      <c r="D89" t="inlineStr">
        <is>
          <t>04</t>
        </is>
      </c>
      <c r="E89" t="inlineStr">
        <is>
          <t>area_of_a_circle</t>
        </is>
      </c>
      <c r="F89" t="inlineStr">
        <is>
          <t>y8_mea_04_area_of_a_circle_v2.html</t>
        </is>
      </c>
      <c r="G89" t="inlineStr">
        <is>
          <t>AC9M8M03</t>
        </is>
      </c>
      <c r="H89" t="inlineStr">
        <is>
          <t>1,2,3</t>
        </is>
      </c>
      <c r="I89" t="inlineStr">
        <is>
          <t>Strict</t>
        </is>
      </c>
      <c r="J89" t="inlineStr">
        <is>
          <t>Attributes such as length, area, volume, rates and angles of 1-, 2- and 3-dimensional objects including irregular and composite shapes can be quantified with appropriate units and used to solve problems in a range of contexts</t>
        </is>
      </c>
      <c r="K89" t="inlineStr">
        <is>
          <t>Area of a circle</t>
        </is>
      </c>
      <c r="L89" t="inlineStr">
        <is>
          <t>auto-marked</t>
        </is>
      </c>
      <c r="N89" t="inlineStr">
        <is>
          <t>Published</t>
        </is>
      </c>
      <c r="P89" t="inlineStr">
        <is>
          <t>https://seager94.github.io/year-8/measurement/y8_mea_04_area_of_a_circle_v2.html</t>
        </is>
      </c>
      <c r="Q89" t="inlineStr">
        <is>
          <t>Reconciled from file meta 2026-05-30</t>
        </is>
      </c>
    </row>
    <row r="90" ht="15" customHeight="1" s="1">
      <c r="A90" t="inlineStr">
        <is>
          <t>y8_mea_05</t>
        </is>
      </c>
      <c r="B90" t="n">
        <v>8</v>
      </c>
      <c r="C90" t="inlineStr">
        <is>
          <t>Measurement</t>
        </is>
      </c>
      <c r="D90" t="inlineStr">
        <is>
          <t>05</t>
        </is>
      </c>
      <c r="E90" t="inlineStr">
        <is>
          <t>volume_of_right_prisms</t>
        </is>
      </c>
      <c r="F90" t="inlineStr">
        <is>
          <t>y8_mea_05_volume_of_right_prisms_v2.html</t>
        </is>
      </c>
      <c r="G90" t="inlineStr">
        <is>
          <t>AC9M8M02</t>
        </is>
      </c>
      <c r="H90" t="inlineStr">
        <is>
          <t>2,3,4</t>
        </is>
      </c>
      <c r="I90" t="inlineStr">
        <is>
          <t>Strict</t>
        </is>
      </c>
      <c r="J90" t="inlineStr">
        <is>
          <t>Attributes such as length, area, volume, rates and angles of 1-, 2- and 3-dimensional objects including irregular and composite shapes can be quantified with appropriate units and used to solve problems in a range of contexts</t>
        </is>
      </c>
      <c r="K90" t="inlineStr">
        <is>
          <t>Volume of right prisms</t>
        </is>
      </c>
      <c r="L90" t="inlineStr">
        <is>
          <t>auto-marked</t>
        </is>
      </c>
      <c r="N90" t="inlineStr">
        <is>
          <t>Published</t>
        </is>
      </c>
      <c r="P90" t="inlineStr">
        <is>
          <t>https://seager94.github.io/year-8/measurement/y8_mea_05_volume_of_right_prisms_v2.html</t>
        </is>
      </c>
      <c r="Q90" t="inlineStr">
        <is>
          <t>Reconciled from file meta 2026-05-30</t>
        </is>
      </c>
    </row>
    <row r="91" ht="15" customHeight="1" s="1">
      <c r="A91" t="inlineStr">
        <is>
          <t>y8_mea_06</t>
        </is>
      </c>
      <c r="B91" t="n">
        <v>8</v>
      </c>
      <c r="C91" t="inlineStr">
        <is>
          <t>Measurement</t>
        </is>
      </c>
      <c r="D91" t="inlineStr">
        <is>
          <t>06</t>
        </is>
      </c>
      <c r="E91" t="inlineStr">
        <is>
          <t>volume_capacity_metric_units</t>
        </is>
      </c>
      <c r="F91" t="inlineStr">
        <is>
          <t>y8_mea_06_volume_capacity_metric_units_v2.html</t>
        </is>
      </c>
      <c r="G91" t="inlineStr">
        <is>
          <t>AC9M8M02</t>
        </is>
      </c>
      <c r="H91" t="inlineStr">
        <is>
          <t>1,2</t>
        </is>
      </c>
      <c r="I91" t="inlineStr">
        <is>
          <t>Strict</t>
        </is>
      </c>
      <c r="J91" t="inlineStr">
        <is>
          <t>Attributes such as length, area, volume, rates and angles of 1-, 2- and 3-dimensional objects including irregular and composite shapes can be quantified with appropriate units and used to solve problems in a range of contexts</t>
        </is>
      </c>
      <c r="K91" t="inlineStr">
        <is>
          <t>Volume capacity metric units</t>
        </is>
      </c>
      <c r="L91" t="inlineStr">
        <is>
          <t>auto-marked</t>
        </is>
      </c>
      <c r="N91" t="inlineStr">
        <is>
          <t>Published</t>
        </is>
      </c>
      <c r="P91" t="inlineStr">
        <is>
          <t>https://seager94.github.io/year-8/measurement/y8_mea_06_volume_capacity_metric_units_v2.html</t>
        </is>
      </c>
      <c r="Q91" t="inlineStr">
        <is>
          <t>Reconciled from file meta 2026-05-30</t>
        </is>
      </c>
    </row>
    <row r="92" ht="15" customHeight="1" s="1">
      <c r="A92" t="inlineStr">
        <is>
          <t>y8_mea_07</t>
        </is>
      </c>
      <c r="B92" t="n">
        <v>8</v>
      </c>
      <c r="C92" t="inlineStr">
        <is>
          <t>Measurement</t>
        </is>
      </c>
      <c r="D92" t="inlineStr">
        <is>
          <t>07</t>
        </is>
      </c>
      <c r="E92" t="inlineStr">
        <is>
          <t>pythagoras_finding_hypotenuse</t>
        </is>
      </c>
      <c r="F92" t="inlineStr">
        <is>
          <t>y8_mea_07_pythagoras_finding_hypotenuse_v2.html</t>
        </is>
      </c>
      <c r="G92" t="inlineStr">
        <is>
          <t>AC9M8M06</t>
        </is>
      </c>
      <c r="H92" t="inlineStr">
        <is>
          <t>1,2</t>
        </is>
      </c>
      <c r="I92" t="inlineStr">
        <is>
          <t>Strict</t>
        </is>
      </c>
      <c r="J92" t="inlineStr">
        <is>
          <t>Attributes such as length, area, volume, rates and angles of 1-, 2- and 3-dimensional objects including irregular and composite shapes can be quantified with appropriate units and used to solve problems in a range of contexts</t>
        </is>
      </c>
      <c r="K92" t="inlineStr">
        <is>
          <t>Pythagoras finding hypotenuse</t>
        </is>
      </c>
      <c r="L92" t="inlineStr">
        <is>
          <t>auto-marked</t>
        </is>
      </c>
      <c r="N92" t="inlineStr">
        <is>
          <t>Published</t>
        </is>
      </c>
      <c r="P92" t="inlineStr">
        <is>
          <t>https://seager94.github.io/year-8/measurement/y8_mea_07_pythagoras_finding_hypotenuse_v2.html</t>
        </is>
      </c>
      <c r="Q92" t="inlineStr">
        <is>
          <t>Reconciled from file meta 2026-05-30</t>
        </is>
      </c>
    </row>
    <row r="93" ht="15" customHeight="1" s="1">
      <c r="A93" t="inlineStr">
        <is>
          <t>y8_mea_08</t>
        </is>
      </c>
      <c r="B93" t="n">
        <v>8</v>
      </c>
      <c r="C93" t="inlineStr">
        <is>
          <t>Measurement</t>
        </is>
      </c>
      <c r="D93" t="inlineStr">
        <is>
          <t>08</t>
        </is>
      </c>
      <c r="E93" t="inlineStr">
        <is>
          <t>pythagoras_finding_shorter_side</t>
        </is>
      </c>
      <c r="F93" t="inlineStr">
        <is>
          <t>y8_mea_08_pythagoras_finding_shorter_side_v2.html</t>
        </is>
      </c>
      <c r="G93" t="inlineStr">
        <is>
          <t>AC9M8M06</t>
        </is>
      </c>
      <c r="H93" t="inlineStr">
        <is>
          <t>2,3,4</t>
        </is>
      </c>
      <c r="I93" t="inlineStr">
        <is>
          <t>Strict</t>
        </is>
      </c>
      <c r="J93" t="inlineStr">
        <is>
          <t>Attributes such as length, area, volume, rates and angles of 1-, 2- and 3-dimensional objects including irregular and composite shapes can be quantified with appropriate units and used to solve problems in a range of contexts</t>
        </is>
      </c>
      <c r="K93" t="inlineStr">
        <is>
          <t>Pythagoras finding shorter side</t>
        </is>
      </c>
      <c r="L93" t="inlineStr">
        <is>
          <t>auto-marked</t>
        </is>
      </c>
      <c r="N93" t="inlineStr">
        <is>
          <t>Published</t>
        </is>
      </c>
      <c r="P93" t="inlineStr">
        <is>
          <t>https://seager94.github.io/year-8/measurement/y8_mea_08_pythagoras_finding_shorter_side_v2.html</t>
        </is>
      </c>
      <c r="Q93" t="inlineStr">
        <is>
          <t>Reconciled from file meta 2026-05-30</t>
        </is>
      </c>
    </row>
    <row r="94" ht="15" customHeight="1" s="1">
      <c r="A94" t="inlineStr">
        <is>
          <t>y8_mea_09</t>
        </is>
      </c>
      <c r="B94" t="n">
        <v>8</v>
      </c>
      <c r="C94" t="inlineStr">
        <is>
          <t>Measurement</t>
        </is>
      </c>
      <c r="D94" t="inlineStr">
        <is>
          <t>09</t>
        </is>
      </c>
      <c r="E94" t="inlineStr">
        <is>
          <t>rates</t>
        </is>
      </c>
      <c r="F94" t="inlineStr">
        <is>
          <t>y8_mea_09_rates_v2.html</t>
        </is>
      </c>
      <c r="G94" t="inlineStr">
        <is>
          <t>AC9M8M05</t>
        </is>
      </c>
      <c r="H94" t="inlineStr">
        <is>
          <t>1,2,3</t>
        </is>
      </c>
      <c r="I94" t="inlineStr">
        <is>
          <t>Strict</t>
        </is>
      </c>
      <c r="J94" t="inlineStr">
        <is>
          <t>Mathematical modelling can be used to represent and solve practical problems, including in financial contexts, using rational numbers and percentages</t>
        </is>
      </c>
      <c r="K94" t="inlineStr">
        <is>
          <t>Rates</t>
        </is>
      </c>
      <c r="L94" t="inlineStr">
        <is>
          <t>auto-marked + open-ended</t>
        </is>
      </c>
      <c r="N94" t="inlineStr">
        <is>
          <t>Published</t>
        </is>
      </c>
      <c r="P94" t="inlineStr">
        <is>
          <t>https://seager94.github.io/year-8/measurement/y8_mea_09_rates_v2.html</t>
        </is>
      </c>
      <c r="Q94" t="inlineStr">
        <is>
          <t>Reconciled from file meta 2026-05-30</t>
        </is>
      </c>
    </row>
    <row r="95" ht="15" customHeight="1" s="1">
      <c r="A95" t="inlineStr">
        <is>
          <t>y8_mea_10</t>
        </is>
      </c>
      <c r="B95" t="n">
        <v>8</v>
      </c>
      <c r="C95" t="inlineStr">
        <is>
          <t>Measurement</t>
        </is>
      </c>
      <c r="D95" t="inlineStr">
        <is>
          <t>10</t>
        </is>
      </c>
      <c r="E95" t="inlineStr">
        <is>
          <t>time_and_duration</t>
        </is>
      </c>
      <c r="F95" t="inlineStr">
        <is>
          <t>y8_mea_10_time_and_duration_v2.html</t>
        </is>
      </c>
      <c r="G95" t="inlineStr">
        <is>
          <t>AC9M8M04</t>
        </is>
      </c>
      <c r="H95" t="inlineStr">
        <is>
          <t>1,2,3</t>
        </is>
      </c>
      <c r="I95" t="inlineStr">
        <is>
          <t>Strict</t>
        </is>
      </c>
      <c r="J95" t="inlineStr">
        <is>
          <t>Duration can be quantified using units of time, including 12- and 24-hour time, and compared across different time zones</t>
        </is>
      </c>
      <c r="K95" t="inlineStr">
        <is>
          <t>Time and duration</t>
        </is>
      </c>
      <c r="L95" t="inlineStr">
        <is>
          <t>auto-marked</t>
        </is>
      </c>
      <c r="N95" t="inlineStr">
        <is>
          <t>Published</t>
        </is>
      </c>
      <c r="P95" t="inlineStr">
        <is>
          <t>https://seager94.github.io/year-8/measurement/y8_mea_10_time_and_duration_v2.html</t>
        </is>
      </c>
      <c r="Q95" t="inlineStr">
        <is>
          <t>Reconciled from file meta 2026-05-30</t>
        </is>
      </c>
    </row>
    <row r="96" ht="15" customHeight="1" s="1">
      <c r="A96" t="inlineStr">
        <is>
          <t>y8_mea_11</t>
        </is>
      </c>
      <c r="B96" t="n">
        <v>8</v>
      </c>
      <c r="C96" t="inlineStr">
        <is>
          <t>Measurement</t>
        </is>
      </c>
      <c r="D96" t="inlineStr">
        <is>
          <t>11</t>
        </is>
      </c>
      <c r="E96" t="inlineStr">
        <is>
          <t>time_zones</t>
        </is>
      </c>
      <c r="F96" t="inlineStr">
        <is>
          <t>y8_mea_11_time_zones_v2.html</t>
        </is>
      </c>
      <c r="G96" t="inlineStr">
        <is>
          <t>AC9M8M04</t>
        </is>
      </c>
      <c r="H96" t="inlineStr">
        <is>
          <t>1,2,3</t>
        </is>
      </c>
      <c r="I96" t="inlineStr">
        <is>
          <t>Strict</t>
        </is>
      </c>
      <c r="J96" t="inlineStr">
        <is>
          <t>Duration can be quantified using units of time, including 12- and 24-hour time, and compared across different time zones</t>
        </is>
      </c>
      <c r="K96" t="inlineStr">
        <is>
          <t>Time zones</t>
        </is>
      </c>
      <c r="L96" t="inlineStr">
        <is>
          <t>auto-marked</t>
        </is>
      </c>
      <c r="N96" t="inlineStr">
        <is>
          <t>Published</t>
        </is>
      </c>
      <c r="P96" t="inlineStr">
        <is>
          <t>https://seager94.github.io/year-8/measurement/y8_mea_11_time_zones_v2.html</t>
        </is>
      </c>
      <c r="Q96" t="inlineStr">
        <is>
          <t>Reconciled from file meta 2026-05-30</t>
        </is>
      </c>
    </row>
    <row r="97" ht="15" customHeight="1" s="1">
      <c r="A97" t="inlineStr">
        <is>
          <t>y8_mea_12</t>
        </is>
      </c>
      <c r="B97" t="n">
        <v>8</v>
      </c>
      <c r="C97" t="inlineStr">
        <is>
          <t>Measurement</t>
        </is>
      </c>
      <c r="D97" t="inlineStr">
        <is>
          <t>12</t>
        </is>
      </c>
      <c r="E97" t="inlineStr">
        <is>
          <t>modelling_with_ratios</t>
        </is>
      </c>
      <c r="F97" t="inlineStr">
        <is>
          <t>y8_mea_12_modelling_with_ratios_v2.html</t>
        </is>
      </c>
      <c r="G97" t="inlineStr">
        <is>
          <t>AC9M8M07</t>
        </is>
      </c>
      <c r="H97" t="inlineStr">
        <is>
          <t>1,4,5</t>
        </is>
      </c>
      <c r="I97" t="inlineStr">
        <is>
          <t>Strict</t>
        </is>
      </c>
      <c r="J97" t="inlineStr">
        <is>
          <t>Attributes such as length, area, volume, rates and angles of 1-, 2- and 3-dimensional objects including irregular and composite shapes can be quantified with appropriate units and used to solve problems in a range of contexts</t>
        </is>
      </c>
      <c r="K97" t="inlineStr">
        <is>
          <t>Modelling with ratios</t>
        </is>
      </c>
      <c r="L97" t="inlineStr">
        <is>
          <t>auto-marked + open-ended</t>
        </is>
      </c>
      <c r="N97" t="inlineStr">
        <is>
          <t>Published</t>
        </is>
      </c>
      <c r="P97" t="inlineStr">
        <is>
          <t>https://seager94.github.io/year-8/measurement/y8_mea_12_modelling_with_ratios_v2.html</t>
        </is>
      </c>
      <c r="Q97" t="inlineStr">
        <is>
          <t>Reconciled from file meta 2026-05-30</t>
        </is>
      </c>
    </row>
    <row r="98" ht="15" customHeight="1" s="1">
      <c r="A98" t="inlineStr">
        <is>
          <t>y8_mea_13</t>
        </is>
      </c>
      <c r="B98" t="n">
        <v>8</v>
      </c>
      <c r="C98" t="inlineStr">
        <is>
          <t>Measurement</t>
        </is>
      </c>
      <c r="D98" t="inlineStr">
        <is>
          <t>13</t>
        </is>
      </c>
      <c r="E98" t="inlineStr">
        <is>
          <t>modelling_rates_financial</t>
        </is>
      </c>
      <c r="F98" t="inlineStr">
        <is>
          <t>y8_mea_13_modelling_rates_financial_v2.html</t>
        </is>
      </c>
      <c r="G98" t="inlineStr">
        <is>
          <t>AC9M8M07</t>
        </is>
      </c>
      <c r="H98" t="inlineStr">
        <is>
          <t>2,3</t>
        </is>
      </c>
      <c r="I98" t="inlineStr">
        <is>
          <t>Strict</t>
        </is>
      </c>
      <c r="J98" t="inlineStr">
        <is>
          <t>Attributes such as length, area, volume, rates and angles of 1-, 2- and 3-dimensional objects including irregular and composite shapes can be quantified with appropriate units and used to solve problems in a range of contexts</t>
        </is>
      </c>
      <c r="K98" t="inlineStr">
        <is>
          <t>Modelling rates financial</t>
        </is>
      </c>
      <c r="L98" t="inlineStr">
        <is>
          <t>auto-marked + open-ended</t>
        </is>
      </c>
      <c r="N98" t="inlineStr">
        <is>
          <t>Published</t>
        </is>
      </c>
      <c r="P98" t="inlineStr">
        <is>
          <t>https://seager94.github.io/year-8/measurement/y8_mea_13_modelling_rates_financial_v2.html</t>
        </is>
      </c>
      <c r="Q98" t="inlineStr">
        <is>
          <t>Reconciled from file meta 2026-05-30</t>
        </is>
      </c>
    </row>
    <row r="99" ht="15" customHeight="1" s="1">
      <c r="A99" t="inlineStr">
        <is>
          <t>y8_space_01</t>
        </is>
      </c>
      <c r="B99" t="n">
        <v>8</v>
      </c>
      <c r="C99" t="inlineStr">
        <is>
          <t>Space</t>
        </is>
      </c>
      <c r="D99" t="inlineStr">
        <is>
          <t>01</t>
        </is>
      </c>
      <c r="E99" t="inlineStr">
        <is>
          <t>introducing_congruence</t>
        </is>
      </c>
      <c r="F99" t="inlineStr">
        <is>
          <t>y8_space_01_introducing_congruence_v2.html</t>
        </is>
      </c>
      <c r="G99" t="inlineStr">
        <is>
          <t>AC9M8SP01</t>
        </is>
      </c>
      <c r="H99" t="inlineStr">
        <is>
          <t>TODO: backfill (file meta missing)</t>
        </is>
      </c>
      <c r="I99" t="inlineStr">
        <is>
          <t>Inferred - file meta missing</t>
        </is>
      </c>
      <c r="J99" t="inlineStr">
        <is>
          <t>Congruency and similarity can be established and used for triangles and other shapes to describe position, location and properties</t>
        </is>
      </c>
      <c r="K99" t="inlineStr">
        <is>
          <t>Introducing congruence</t>
        </is>
      </c>
      <c r="L99" t="inlineStr">
        <is>
          <t>matching</t>
        </is>
      </c>
      <c r="N99" t="inlineStr">
        <is>
          <t>Published</t>
        </is>
      </c>
      <c r="P99" t="inlineStr">
        <is>
          <t>https://seager94.github.io/year-8/space/y8_space_01_introducing_congruence_v2.html</t>
        </is>
      </c>
      <c r="Q99" t="inlineStr">
        <is>
          <t>Reconciled 2026-05-30; file meta missing - descriptor inferred, backfill meta+elaborations</t>
        </is>
      </c>
    </row>
    <row r="100" ht="15" customHeight="1" s="1">
      <c r="A100" t="inlineStr">
        <is>
          <t>y8_space_02</t>
        </is>
      </c>
      <c r="B100" t="n">
        <v>8</v>
      </c>
      <c r="C100" t="inlineStr">
        <is>
          <t>Space</t>
        </is>
      </c>
      <c r="D100" t="inlineStr">
        <is>
          <t>02</t>
        </is>
      </c>
      <c r="E100" t="inlineStr">
        <is>
          <t>sss_sas_congruence</t>
        </is>
      </c>
      <c r="F100" t="inlineStr">
        <is>
          <t>y8_space_02_sss_sas_congruence_v2.html</t>
        </is>
      </c>
      <c r="G100" t="inlineStr">
        <is>
          <t>AC9M8SP01</t>
        </is>
      </c>
      <c r="H100" t="inlineStr">
        <is>
          <t>TODO: backfill (file meta missing)</t>
        </is>
      </c>
      <c r="I100" t="inlineStr">
        <is>
          <t>Inferred - file meta missing</t>
        </is>
      </c>
      <c r="J100" t="inlineStr">
        <is>
          <t>Congruency and similarity can be established and used for triangles and other shapes to describe position, location and properties</t>
        </is>
      </c>
      <c r="K100" t="inlineStr">
        <is>
          <t>Sss sas congruence</t>
        </is>
      </c>
      <c r="L100" t="inlineStr">
        <is>
          <t>matching</t>
        </is>
      </c>
      <c r="N100" t="inlineStr">
        <is>
          <t>Published</t>
        </is>
      </c>
      <c r="P100" t="inlineStr">
        <is>
          <t>https://seager94.github.io/year-8/space/y8_space_02_sss_sas_congruence_v2.html</t>
        </is>
      </c>
      <c r="Q100" t="inlineStr">
        <is>
          <t>Reconciled 2026-05-30; file meta missing - descriptor inferred, backfill meta+elaborations</t>
        </is>
      </c>
    </row>
    <row r="101" ht="15" customHeight="1" s="1">
      <c r="A101" t="inlineStr">
        <is>
          <t>y8_space_03</t>
        </is>
      </c>
      <c r="B101" t="n">
        <v>8</v>
      </c>
      <c r="C101" t="inlineStr">
        <is>
          <t>Space</t>
        </is>
      </c>
      <c r="D101" t="inlineStr">
        <is>
          <t>03</t>
        </is>
      </c>
      <c r="E101" t="inlineStr">
        <is>
          <t>asa_rhs_congruence</t>
        </is>
      </c>
      <c r="F101" t="inlineStr">
        <is>
          <t>y8_space_03_asa_rhs_congruence_v2.html</t>
        </is>
      </c>
      <c r="G101" t="inlineStr">
        <is>
          <t>AC9M8SP01</t>
        </is>
      </c>
      <c r="H101" t="inlineStr">
        <is>
          <t>TODO: backfill (file meta missing)</t>
        </is>
      </c>
      <c r="I101" t="inlineStr">
        <is>
          <t>Inferred - file meta missing</t>
        </is>
      </c>
      <c r="J101" t="inlineStr">
        <is>
          <t>Congruency and similarity can be established and used for triangles and other shapes to describe position, location and properties</t>
        </is>
      </c>
      <c r="K101" t="inlineStr">
        <is>
          <t>Asa rhs congruence</t>
        </is>
      </c>
      <c r="L101" t="inlineStr">
        <is>
          <t>matching</t>
        </is>
      </c>
      <c r="N101" t="inlineStr">
        <is>
          <t>Published</t>
        </is>
      </c>
      <c r="P101" t="inlineStr">
        <is>
          <t>https://seager94.github.io/year-8/space/y8_space_03_asa_rhs_congruence_v2.html</t>
        </is>
      </c>
      <c r="Q101" t="inlineStr">
        <is>
          <t>Reconciled 2026-05-30; file meta missing - descriptor inferred, backfill meta+elaborations</t>
        </is>
      </c>
    </row>
    <row r="102" ht="15" customHeight="1" s="1">
      <c r="A102" t="inlineStr">
        <is>
          <t>y8_space_04</t>
        </is>
      </c>
      <c r="B102" t="n">
        <v>8</v>
      </c>
      <c r="C102" t="inlineStr">
        <is>
          <t>Space</t>
        </is>
      </c>
      <c r="D102" t="inlineStr">
        <is>
          <t>04</t>
        </is>
      </c>
      <c r="E102" t="inlineStr">
        <is>
          <t>similarity_scale_factor</t>
        </is>
      </c>
      <c r="F102" t="inlineStr">
        <is>
          <t>y8_space_04_similarity_scale_factor_v2.html</t>
        </is>
      </c>
      <c r="G102" t="inlineStr">
        <is>
          <t>AC9M8SP01</t>
        </is>
      </c>
      <c r="H102" t="inlineStr">
        <is>
          <t>TODO: backfill (file meta missing)</t>
        </is>
      </c>
      <c r="I102" t="inlineStr">
        <is>
          <t>Inferred - file meta missing</t>
        </is>
      </c>
      <c r="J102" t="inlineStr">
        <is>
          <t>Congruency and similarity can be established and used for triangles and other shapes to describe position, location and properties</t>
        </is>
      </c>
      <c r="K102" t="inlineStr">
        <is>
          <t>Similarity scale factor</t>
        </is>
      </c>
      <c r="L102" t="inlineStr">
        <is>
          <t>matching</t>
        </is>
      </c>
      <c r="N102" t="inlineStr">
        <is>
          <t>Published</t>
        </is>
      </c>
      <c r="P102" t="inlineStr">
        <is>
          <t>https://seager94.github.io/year-8/space/y8_space_04_similarity_scale_factor_v2.html</t>
        </is>
      </c>
      <c r="Q102" t="inlineStr">
        <is>
          <t>Reconciled 2026-05-30; file meta missing - descriptor inferred, backfill meta+elaborations</t>
        </is>
      </c>
    </row>
    <row r="103" ht="15" customHeight="1" s="1">
      <c r="A103" t="inlineStr">
        <is>
          <t>y8_space_05</t>
        </is>
      </c>
      <c r="B103" t="n">
        <v>8</v>
      </c>
      <c r="C103" t="inlineStr">
        <is>
          <t>Space</t>
        </is>
      </c>
      <c r="D103" t="inlineStr">
        <is>
          <t>05</t>
        </is>
      </c>
      <c r="E103" t="inlineStr">
        <is>
          <t>aa_similarity</t>
        </is>
      </c>
      <c r="F103" t="inlineStr">
        <is>
          <t>y8_space_05_aa_similarity_v2.html</t>
        </is>
      </c>
      <c r="G103" t="inlineStr">
        <is>
          <t>AC9M8SP01</t>
        </is>
      </c>
      <c r="H103" t="inlineStr">
        <is>
          <t>TODO: backfill (file meta missing)</t>
        </is>
      </c>
      <c r="I103" t="inlineStr">
        <is>
          <t>Inferred - file meta missing</t>
        </is>
      </c>
      <c r="J103" t="inlineStr">
        <is>
          <t>Congruency and similarity can be established and used for triangles and other shapes to describe position, location and properties</t>
        </is>
      </c>
      <c r="K103" t="inlineStr">
        <is>
          <t>Aa similarity</t>
        </is>
      </c>
      <c r="L103" t="inlineStr">
        <is>
          <t>matching</t>
        </is>
      </c>
      <c r="N103" t="inlineStr">
        <is>
          <t>Published</t>
        </is>
      </c>
      <c r="P103" t="inlineStr">
        <is>
          <t>https://seager94.github.io/year-8/space/y8_space_05_aa_similarity_v2.html</t>
        </is>
      </c>
      <c r="Q103" t="inlineStr">
        <is>
          <t>Reconciled 2026-05-30; file meta missing - descriptor inferred, backfill meta+elaborations</t>
        </is>
      </c>
    </row>
    <row r="104" ht="15" customHeight="1" s="1">
      <c r="A104" t="inlineStr">
        <is>
          <t>y8_space_06</t>
        </is>
      </c>
      <c r="B104" t="n">
        <v>8</v>
      </c>
      <c r="C104" t="inlineStr">
        <is>
          <t>Space</t>
        </is>
      </c>
      <c r="D104" t="inlineStr">
        <is>
          <t>06</t>
        </is>
      </c>
      <c r="E104" t="inlineStr">
        <is>
          <t>other_shapes_congruence_similarity</t>
        </is>
      </c>
      <c r="F104" t="inlineStr">
        <is>
          <t>y8_space_06_other_shapes_congruence_similarity_v2.html</t>
        </is>
      </c>
      <c r="G104" t="inlineStr">
        <is>
          <t>AC9M8SP01</t>
        </is>
      </c>
      <c r="H104" t="inlineStr">
        <is>
          <t>TODO: backfill (file meta missing)</t>
        </is>
      </c>
      <c r="I104" t="inlineStr">
        <is>
          <t>Inferred - file meta missing</t>
        </is>
      </c>
      <c r="J104" t="inlineStr">
        <is>
          <t>Congruency and similarity can be established and used for triangles and other shapes to describe position, location and properties</t>
        </is>
      </c>
      <c r="K104" t="inlineStr">
        <is>
          <t>Other shapes congruence similarity</t>
        </is>
      </c>
      <c r="L104" t="inlineStr">
        <is>
          <t>matching</t>
        </is>
      </c>
      <c r="N104" t="inlineStr">
        <is>
          <t>Published</t>
        </is>
      </c>
      <c r="P104" t="inlineStr">
        <is>
          <t>https://seager94.github.io/year-8/space/y8_space_06_other_shapes_congruence_similarity_v2.html</t>
        </is>
      </c>
      <c r="Q104" t="inlineStr">
        <is>
          <t>Reconciled 2026-05-30; file meta missing - descriptor inferred, backfill meta+elaborations</t>
        </is>
      </c>
    </row>
    <row r="105" ht="15" customHeight="1" s="1">
      <c r="A105" t="inlineStr">
        <is>
          <t>y8_space_07</t>
        </is>
      </c>
      <c r="B105" t="n">
        <v>8</v>
      </c>
      <c r="C105" t="inlineStr">
        <is>
          <t>Space</t>
        </is>
      </c>
      <c r="D105" t="inlineStr">
        <is>
          <t>07</t>
        </is>
      </c>
      <c r="E105" t="inlineStr">
        <is>
          <t>congruence_similarity_algorithm</t>
        </is>
      </c>
      <c r="F105" t="inlineStr">
        <is>
          <t>y8_space_07_congruence_similarity_algorithm_v2.html</t>
        </is>
      </c>
      <c r="G105" t="inlineStr">
        <is>
          <t>AC9M8SP04</t>
        </is>
      </c>
      <c r="H105" t="inlineStr">
        <is>
          <t>TODO: backfill (file meta missing)</t>
        </is>
      </c>
      <c r="I105" t="inlineStr">
        <is>
          <t>Inferred - file meta missing</t>
        </is>
      </c>
      <c r="J105" t="inlineStr">
        <is>
          <t>Congruency and similarity can be established and used for triangles and other shapes to describe position, location and properties</t>
        </is>
      </c>
      <c r="K105" t="inlineStr">
        <is>
          <t>Congruence similarity algorithm</t>
        </is>
      </c>
      <c r="L105" t="inlineStr">
        <is>
          <t>strategy-MCQ</t>
        </is>
      </c>
      <c r="N105" t="inlineStr">
        <is>
          <t>Published</t>
        </is>
      </c>
      <c r="P105" t="inlineStr">
        <is>
          <t>https://seager94.github.io/year-8/space/y8_space_07_congruence_similarity_algorithm_v2.html</t>
        </is>
      </c>
      <c r="Q105" t="inlineStr">
        <is>
          <t>Reconciled 2026-05-30; file meta missing - descriptor inferred, backfill meta+elaborations</t>
        </is>
      </c>
    </row>
    <row r="106" ht="15" customHeight="1" s="1">
      <c r="A106" t="inlineStr">
        <is>
          <t>y8_space_08</t>
        </is>
      </c>
      <c r="B106" t="n">
        <v>8</v>
      </c>
      <c r="C106" t="inlineStr">
        <is>
          <t>Space</t>
        </is>
      </c>
      <c r="D106" t="inlineStr">
        <is>
          <t>08</t>
        </is>
      </c>
      <c r="E106" t="inlineStr">
        <is>
          <t>parallel_lines_angle_reasoning</t>
        </is>
      </c>
      <c r="F106" t="inlineStr">
        <is>
          <t>y8_space_08_parallel_lines_angle_reasoning_v2.html</t>
        </is>
      </c>
      <c r="G106" t="inlineStr">
        <is>
          <t>AC9M8SP02</t>
        </is>
      </c>
      <c r="H106" t="inlineStr">
        <is>
          <t>TODO: backfill (file meta missing)</t>
        </is>
      </c>
      <c r="I106" t="inlineStr">
        <is>
          <t>Inferred - file meta missing</t>
        </is>
      </c>
      <c r="J106" t="inlineStr">
        <is>
          <t>Relationships and properties of congruent and similar triangles can be used to deduce the properties of quadrilaterals</t>
        </is>
      </c>
      <c r="K106" t="inlineStr">
        <is>
          <t>Parallel lines angle reasoning</t>
        </is>
      </c>
      <c r="L106" t="inlineStr">
        <is>
          <t>auto-marked</t>
        </is>
      </c>
      <c r="N106" t="inlineStr">
        <is>
          <t>Published</t>
        </is>
      </c>
      <c r="P106" t="inlineStr">
        <is>
          <t>https://seager94.github.io/year-8/space/y8_space_08_parallel_lines_angle_reasoning_v2.html</t>
        </is>
      </c>
      <c r="Q106" t="inlineStr">
        <is>
          <t>Reconciled 2026-05-30; file meta missing - descriptor inferred, backfill meta+elaborations</t>
        </is>
      </c>
    </row>
    <row r="107" ht="15" customHeight="1" s="1">
      <c r="A107" t="inlineStr">
        <is>
          <t>y8_space_09</t>
        </is>
      </c>
      <c r="B107" t="n">
        <v>8</v>
      </c>
      <c r="C107" t="inlineStr">
        <is>
          <t>Space</t>
        </is>
      </c>
      <c r="D107" t="inlineStr">
        <is>
          <t>09</t>
        </is>
      </c>
      <c r="E107" t="inlineStr">
        <is>
          <t>parallelogram_properties_proof</t>
        </is>
      </c>
      <c r="F107" t="inlineStr">
        <is>
          <t>y8_space_09_parallelogram_properties_proof_v2.html</t>
        </is>
      </c>
      <c r="G107" t="inlineStr">
        <is>
          <t>AC9M8SP02</t>
        </is>
      </c>
      <c r="H107" t="inlineStr">
        <is>
          <t>TODO: backfill (file meta missing)</t>
        </is>
      </c>
      <c r="I107" t="inlineStr">
        <is>
          <t>Inferred - file meta missing</t>
        </is>
      </c>
      <c r="J107" t="inlineStr">
        <is>
          <t>Relationships and properties of congruent and similar triangles can be used to deduce the properties of quadrilaterals</t>
        </is>
      </c>
      <c r="K107" t="inlineStr">
        <is>
          <t>Parallelogram properties proof</t>
        </is>
      </c>
      <c r="L107" t="inlineStr">
        <is>
          <t>auto-marked</t>
        </is>
      </c>
      <c r="N107" t="inlineStr">
        <is>
          <t>Published</t>
        </is>
      </c>
      <c r="P107" t="inlineStr">
        <is>
          <t>https://seager94.github.io/year-8/space/y8_space_09_parallelogram_properties_proof_v2.html</t>
        </is>
      </c>
      <c r="Q107" t="inlineStr">
        <is>
          <t>Reconciled 2026-05-30; file meta missing - descriptor inferred, backfill meta+elaborations</t>
        </is>
      </c>
    </row>
    <row r="108" ht="15" customHeight="1" s="1">
      <c r="A108" t="inlineStr">
        <is>
          <t>y8_space_10</t>
        </is>
      </c>
      <c r="B108" t="n">
        <v>8</v>
      </c>
      <c r="C108" t="inlineStr">
        <is>
          <t>Space</t>
        </is>
      </c>
      <c r="D108" t="inlineStr">
        <is>
          <t>10</t>
        </is>
      </c>
      <c r="E108" t="inlineStr">
        <is>
          <t>rhombus_rectangle_square_properties</t>
        </is>
      </c>
      <c r="F108" t="inlineStr">
        <is>
          <t>y8_space_10_rhombus_rectangle_square_properties_v2.html</t>
        </is>
      </c>
      <c r="G108" t="inlineStr">
        <is>
          <t>AC9M8SP02</t>
        </is>
      </c>
      <c r="H108" t="inlineStr">
        <is>
          <t>TODO: backfill (file meta missing)</t>
        </is>
      </c>
      <c r="I108" t="inlineStr">
        <is>
          <t>Inferred - file meta missing</t>
        </is>
      </c>
      <c r="J108" t="inlineStr">
        <is>
          <t>Relationships and properties of congruent and similar triangles can be used to deduce the properties of quadrilaterals</t>
        </is>
      </c>
      <c r="K108" t="inlineStr">
        <is>
          <t>Rhombus rectangle square properties</t>
        </is>
      </c>
      <c r="L108" t="inlineStr">
        <is>
          <t>auto-marked</t>
        </is>
      </c>
      <c r="N108" t="inlineStr">
        <is>
          <t>Published</t>
        </is>
      </c>
      <c r="P108" t="inlineStr">
        <is>
          <t>https://seager94.github.io/year-8/space/y8_space_10_rhombus_rectangle_square_properties_v2.html</t>
        </is>
      </c>
      <c r="Q108" t="inlineStr">
        <is>
          <t>Reconciled 2026-05-30; file meta missing - descriptor inferred, backfill meta+elaborations</t>
        </is>
      </c>
    </row>
    <row r="109" ht="15" customHeight="1" s="1">
      <c r="A109" t="inlineStr">
        <is>
          <t>y8_space_11</t>
        </is>
      </c>
      <c r="B109" t="n">
        <v>8</v>
      </c>
      <c r="C109" t="inlineStr">
        <is>
          <t>Space</t>
        </is>
      </c>
      <c r="D109" t="inlineStr">
        <is>
          <t>11</t>
        </is>
      </c>
      <c r="E109" t="inlineStr">
        <is>
          <t>exterior_angles_of_polygons</t>
        </is>
      </c>
      <c r="F109" t="inlineStr">
        <is>
          <t>y8_spa_05_exterior_angles_of_polygons_v2.html</t>
        </is>
      </c>
      <c r="G109" t="inlineStr">
        <is>
          <t>AC9M8SP02</t>
        </is>
      </c>
      <c r="H109" t="inlineStr">
        <is>
          <t>1</t>
        </is>
      </c>
      <c r="I109" t="inlineStr">
        <is>
          <t>Strict</t>
        </is>
      </c>
      <c r="J109" t="inlineStr">
        <is>
          <t>Relationships and properties of congruent and similar triangles can be used to deduce the properties of quadrilaterals</t>
        </is>
      </c>
      <c r="K109" t="inlineStr">
        <is>
          <t>Establish that the sum of the exterior angles of any convex polygon is 360°; calculate exterior and interior angles of regular polygons; relate to the interior-angle formula from Y7.</t>
        </is>
      </c>
      <c r="L109" t="inlineStr">
        <is>
          <t>auto-marked</t>
        </is>
      </c>
      <c r="N109" t="inlineStr">
        <is>
          <t>Planned</t>
        </is>
      </c>
      <c r="Q109" t="inlineStr">
        <is>
          <t>Cross-strand: extends Y7 mea_10 interior-angle-sum work. | kept: built SP02 coverage unverifiable (file meta missing)</t>
        </is>
      </c>
    </row>
    <row r="110" ht="15" customHeight="1" s="1">
      <c r="A110" t="inlineStr">
        <is>
          <t>y8_space_12</t>
        </is>
      </c>
      <c r="B110" t="n">
        <v>8</v>
      </c>
      <c r="C110" t="inlineStr">
        <is>
          <t>Space</t>
        </is>
      </c>
      <c r="D110" t="inlineStr">
        <is>
          <t>12</t>
        </is>
      </c>
      <c r="E110" t="inlineStr">
        <is>
          <t>three_dimensional_coordinates</t>
        </is>
      </c>
      <c r="F110" t="inlineStr">
        <is>
          <t>y8_spa_06_three_dimensional_coordinates_v2.html</t>
        </is>
      </c>
      <c r="G110" t="inlineStr">
        <is>
          <t>AC9M8SP03</t>
        </is>
      </c>
      <c r="H110" t="inlineStr">
        <is>
          <t>1,2,3,4,5,6</t>
        </is>
      </c>
      <c r="I110" t="inlineStr">
        <is>
          <t>Strict</t>
        </is>
      </c>
      <c r="J110" t="inlineStr">
        <is>
          <t>Position and location of objects in 3 dimensions can be represented using a coordinate system</t>
        </is>
      </c>
      <c r="K110" t="inlineStr">
        <is>
          <t>Extend the Cartesian plane to a three-dimensional coordinate system (x, y, z); locate aircraft and drones using latitude, longitude and altitude; interpret coordinates in multi-storey carparks and play 3D Tic-Tac-Toe.</t>
        </is>
      </c>
      <c r="L110" t="inlineStr">
        <is>
          <t>auto-marked</t>
        </is>
      </c>
      <c r="N110" t="inlineStr">
        <is>
          <t>Planned</t>
        </is>
      </c>
      <c r="Q110" t="inlineStr">
        <is>
          <t>Extends Y7 alg_09 / spa_05 Cartesian work — prior-year prereq. | only uncovered descriptor</t>
        </is>
      </c>
    </row>
    <row r="111" ht="15" customHeight="1" s="1">
      <c r="A111" t="inlineStr">
        <is>
          <t>y8_sta_01</t>
        </is>
      </c>
      <c r="B111" t="n">
        <v>8</v>
      </c>
      <c r="C111" t="inlineStr">
        <is>
          <t>Statistics</t>
        </is>
      </c>
      <c r="D111" t="n">
        <v>1</v>
      </c>
      <c r="E111" t="inlineStr">
        <is>
          <t>census_vs_sample</t>
        </is>
      </c>
      <c r="F111" t="inlineStr">
        <is>
          <t>y8_sta_01_census_vs_sample_v2.html</t>
        </is>
      </c>
      <c r="G111" t="inlineStr">
        <is>
          <t>AC9M8ST01</t>
        </is>
      </c>
      <c r="H111" t="inlineStr">
        <is>
          <t>1</t>
        </is>
      </c>
      <c r="I111" t="inlineStr">
        <is>
          <t>Strict</t>
        </is>
      </c>
      <c r="J111" t="inlineStr">
        <is>
          <t>Valid inferences about populations can be made by drawing conclusions from representative samples</t>
        </is>
      </c>
      <c r="K111" t="inlineStr">
        <is>
          <t>Distinguish census from sample; identify when each is feasible or required; weigh the cost/accuracy/practicality trade-offs in survey design with realistic scenarios.</t>
        </is>
      </c>
      <c r="L111" t="inlineStr">
        <is>
          <t>strategy-MCQ</t>
        </is>
      </c>
      <c r="N111" t="inlineStr">
        <is>
          <t>Published</t>
        </is>
      </c>
      <c r="O111" s="13" t="n">
        <v>46213</v>
      </c>
      <c r="P111" t="inlineStr">
        <is>
          <t>https://seager94.github.io/year-8/statistics/y8_sta_01_census_vs_sample_v2.html</t>
        </is>
      </c>
      <c r="Q111" t="inlineStr">
        <is>
          <t>Strategy-MCQ suits 'which method for this scenario?' question type.</t>
        </is>
      </c>
    </row>
    <row r="112" ht="15" customHeight="1" s="1">
      <c r="A112" t="inlineStr">
        <is>
          <t>y8_sta_02</t>
        </is>
      </c>
      <c r="B112" t="n">
        <v>8</v>
      </c>
      <c r="C112" t="inlineStr">
        <is>
          <t>Statistics</t>
        </is>
      </c>
      <c r="D112" t="n">
        <v>2</v>
      </c>
      <c r="E112" t="inlineStr">
        <is>
          <t>identifying_and_avoiding_bias</t>
        </is>
      </c>
      <c r="F112" t="inlineStr">
        <is>
          <t>y8_sta_02_identifying_and_avoiding_bias_v2.html</t>
        </is>
      </c>
      <c r="G112" t="inlineStr">
        <is>
          <t>AC9M8ST01</t>
        </is>
      </c>
      <c r="H112" t="inlineStr">
        <is>
          <t>3,4</t>
        </is>
      </c>
      <c r="I112" t="inlineStr">
        <is>
          <t>Strict</t>
        </is>
      </c>
      <c r="J112" t="inlineStr">
        <is>
          <t>Valid inferences about populations can be made by drawing conclusions from representative samples</t>
        </is>
      </c>
      <c r="K112" t="inlineStr">
        <is>
          <t>Recognise sampling bias, response bias and observer bias in real studies (e.g. shopping-centre surveys, online polls); discuss precision and error in digital measurement tools; suggest redesigns to reduce bias.</t>
        </is>
      </c>
      <c r="L112" t="inlineStr">
        <is>
          <t>strategy-MCQ</t>
        </is>
      </c>
      <c r="M112" t="inlineStr">
        <is>
          <t>y8_sta_01</t>
        </is>
      </c>
      <c r="N112" t="inlineStr">
        <is>
          <t>Published</t>
        </is>
      </c>
      <c r="O112" s="13" t="n">
        <v>46213</v>
      </c>
      <c r="P112" t="inlineStr">
        <is>
          <t>https://seager94.github.io/year-8/statistics/y8_sta_02_identifying_and_avoiding_bias_v2.html</t>
        </is>
      </c>
    </row>
    <row r="113" ht="15" customHeight="1" s="1">
      <c r="A113" t="inlineStr">
        <is>
          <t>y8_sta_03</t>
        </is>
      </c>
      <c r="B113" t="n">
        <v>8</v>
      </c>
      <c r="C113" t="inlineStr">
        <is>
          <t>Statistics</t>
        </is>
      </c>
      <c r="D113" t="n">
        <v>3</v>
      </c>
      <c r="E113" t="inlineStr">
        <is>
          <t>sampling_methods_compared</t>
        </is>
      </c>
      <c r="F113" t="inlineStr">
        <is>
          <t>y8_sta_03_sampling_methods_compared_v2.html</t>
        </is>
      </c>
      <c r="G113" t="inlineStr">
        <is>
          <t>AC9M8ST02, AC9M8ST01</t>
        </is>
      </c>
      <c r="H113" t="inlineStr">
        <is>
          <t>1,2,3,4 (ST02); 2 (ST01)</t>
        </is>
      </c>
      <c r="I113" t="inlineStr">
        <is>
          <t>Strict + cross-tag</t>
        </is>
      </c>
      <c r="J113" t="inlineStr">
        <is>
          <t>A representative sample depends on the nature of the population and the question being considered</t>
        </is>
      </c>
      <c r="K113" t="inlineStr">
        <is>
          <t>Compare simple random, systematic, stratified, quota, cluster, convenience and judgement sampling; match the method to the population structure; define probabilistic terms — random, sample space, sample, sample distribution.</t>
        </is>
      </c>
      <c r="L113" t="inlineStr">
        <is>
          <t>matching</t>
        </is>
      </c>
      <c r="M113" t="inlineStr">
        <is>
          <t>y8_sta_01</t>
        </is>
      </c>
      <c r="N113" t="inlineStr">
        <is>
          <t>Published</t>
        </is>
      </c>
      <c r="O113" s="13" t="n">
        <v>46222</v>
      </c>
      <c r="P113" t="inlineStr">
        <is>
          <t>https://seager94.github.io/year-8/statistics/y8_sta_03_sampling_methods_compared_v2.html</t>
        </is>
      </c>
      <c r="Q113" t="inlineStr">
        <is>
          <t>Matching suits 'method ↔ scenario' question type.</t>
        </is>
      </c>
    </row>
    <row r="114" ht="15" customHeight="1" s="1">
      <c r="A114" t="inlineStr">
        <is>
          <t>y8_sta_04</t>
        </is>
      </c>
      <c r="B114" t="n">
        <v>8</v>
      </c>
      <c r="C114" t="inlineStr">
        <is>
          <t>Statistics</t>
        </is>
      </c>
      <c r="D114" t="n">
        <v>4</v>
      </c>
      <c r="E114" t="inlineStr">
        <is>
          <t>sample_to_sample_variation</t>
        </is>
      </c>
      <c r="F114" t="inlineStr">
        <is>
          <t>y8_sta_04_sample_to_sample_variation_v2.html</t>
        </is>
      </c>
      <c r="G114" t="inlineStr">
        <is>
          <t>AC9M8ST03</t>
        </is>
      </c>
      <c r="H114" t="inlineStr">
        <is>
          <t>1,2,4</t>
        </is>
      </c>
      <c r="I114" t="inlineStr">
        <is>
          <t>Strict</t>
        </is>
      </c>
      <c r="J114" t="inlineStr">
        <is>
          <t>A representative sample depends on the nature of the population and the question being considered</t>
        </is>
      </c>
      <c r="K114" t="inlineStr">
        <is>
          <t>Use simulations to draw repeated samples from a known population; observe how mean, median and range vary between samples of the same size; investigate the effect of adding or removing data on central tendency and spread.</t>
        </is>
      </c>
      <c r="L114" t="inlineStr">
        <is>
          <t>auto-marked + open-ended</t>
        </is>
      </c>
      <c r="M114" t="inlineStr">
        <is>
          <t>y8_sta_03</t>
        </is>
      </c>
      <c r="N114" t="inlineStr">
        <is>
          <t>Published</t>
        </is>
      </c>
      <c r="O114" s="13" t="n">
        <v>46222</v>
      </c>
      <c r="P114" t="inlineStr">
        <is>
          <t>https://seager94.github.io/year-8/statistics/y8_sta_04_sample_to_sample_variation_v2.html</t>
        </is>
      </c>
    </row>
    <row r="115" ht="15" customHeight="1" s="1">
      <c r="A115" t="inlineStr">
        <is>
          <t>y8_sta_05</t>
        </is>
      </c>
      <c r="B115" t="n">
        <v>8</v>
      </c>
      <c r="C115" t="inlineStr">
        <is>
          <t>Statistics</t>
        </is>
      </c>
      <c r="D115" t="n">
        <v>5</v>
      </c>
      <c r="E115" t="inlineStr">
        <is>
          <t>effect_of_sample_size</t>
        </is>
      </c>
      <c r="F115" t="inlineStr">
        <is>
          <t>y8_sta_05_effect_of_sample_size_v2.html</t>
        </is>
      </c>
      <c r="G115" t="inlineStr">
        <is>
          <t>AC9M8ST03</t>
        </is>
      </c>
      <c r="H115" t="inlineStr">
        <is>
          <t>1,3,5</t>
        </is>
      </c>
      <c r="I115" t="inlineStr">
        <is>
          <t>Strict</t>
        </is>
      </c>
      <c r="J115" t="inlineStr">
        <is>
          <t>A representative sample depends on the nature of the population and the question being considered</t>
        </is>
      </c>
      <c r="K115" t="inlineStr">
        <is>
          <t>Compare the variation of sample statistics for small vs large samples; relate to reliability of inferences; use relative frequencies from historical data; investigate First Nations Ranger Group sampling for biodiversity tracking.</t>
        </is>
      </c>
      <c r="L115" t="inlineStr">
        <is>
          <t>auto-marked + open-ended</t>
        </is>
      </c>
      <c r="M115" t="inlineStr">
        <is>
          <t>y8_sta_04</t>
        </is>
      </c>
      <c r="N115" t="inlineStr">
        <is>
          <t>Published</t>
        </is>
      </c>
      <c r="O115" s="13" t="n">
        <v>46222</v>
      </c>
      <c r="P115" t="inlineStr">
        <is>
          <t>https://seager94.github.io/year-8/statistics/y8_sta_05_effect_of_sample_size_v2.html</t>
        </is>
      </c>
    </row>
    <row r="116" ht="15" customHeight="1" s="1">
      <c r="A116" t="inlineStr">
        <is>
          <t>y8_sta_06</t>
        </is>
      </c>
      <c r="B116" t="n">
        <v>8</v>
      </c>
      <c r="C116" t="inlineStr">
        <is>
          <t>Statistics</t>
        </is>
      </c>
      <c r="D116" t="n">
        <v>6</v>
      </c>
      <c r="E116" t="inlineStr">
        <is>
          <t>statistical_investigation_with_sampling</t>
        </is>
      </c>
      <c r="F116" t="inlineStr">
        <is>
          <t>y8_sta_06_statistical_investigation_with_sampling_v2.html</t>
        </is>
      </c>
      <c r="G116" t="inlineStr">
        <is>
          <t>AC9M8ST04</t>
        </is>
      </c>
      <c r="H116" t="inlineStr">
        <is>
          <t>1,2,3</t>
        </is>
      </c>
      <c r="I116" t="inlineStr">
        <is>
          <t>Strict</t>
        </is>
      </c>
      <c r="J116" t="inlineStr">
        <is>
          <t>Valid inferences about populations can be made by drawing conclusions from representative samples</t>
        </is>
      </c>
      <c r="K116" t="inlineStr">
        <is>
          <t>Plan and conduct a full sample-based investigation: pose a question, design the sample, collect data, analyse with appropriate summary statistics, report findings with acknowledgement of uncertainty; example contexts include pandemic-impact electricity data and reconciliation progress.</t>
        </is>
      </c>
      <c r="L116" t="inlineStr">
        <is>
          <t>auto-marked + open-ended</t>
        </is>
      </c>
      <c r="M116" t="inlineStr">
        <is>
          <t>y8_sta_03,y8_sta_05</t>
        </is>
      </c>
      <c r="N116" t="inlineStr">
        <is>
          <t>Published</t>
        </is>
      </c>
      <c r="O116" s="13" t="n">
        <v>46222</v>
      </c>
      <c r="P116" t="inlineStr">
        <is>
          <t>https://seager94.github.io/year-8/statistics/y8_sta_06_statistical_investigation_with_sampling_v2.html</t>
        </is>
      </c>
      <c r="Q116" t="inlineStr">
        <is>
          <t>Capstone — mirrors Y7 sta_05 but now with explicit sample design.</t>
        </is>
      </c>
    </row>
    <row r="117" ht="15" customHeight="1" s="1">
      <c r="A117" t="inlineStr">
        <is>
          <t>y8_pro_01</t>
        </is>
      </c>
      <c r="B117" t="n">
        <v>8</v>
      </c>
      <c r="C117" t="inlineStr">
        <is>
          <t>Probability</t>
        </is>
      </c>
      <c r="D117" t="n">
        <v>1</v>
      </c>
      <c r="E117" t="inlineStr">
        <is>
          <t>complementary_events</t>
        </is>
      </c>
      <c r="F117" t="inlineStr">
        <is>
          <t>y8_pro_01_complementary_events_v2.html</t>
        </is>
      </c>
      <c r="G117" t="inlineStr">
        <is>
          <t>AC9M8P01</t>
        </is>
      </c>
      <c r="H117" t="inlineStr">
        <is>
          <t>1,2,3</t>
        </is>
      </c>
      <c r="I117" t="inlineStr">
        <is>
          <t>Strict</t>
        </is>
      </c>
      <c r="J117" t="inlineStr">
        <is>
          <t>Complementary events in an experiment are mutually exclusive and together cover all possible outcomes</t>
        </is>
      </c>
      <c r="K117" t="inlineStr">
        <is>
          <t>Recognise that P(A) + P(not A) = 1; use the complement to calculate probabilities of events that are not equally likely, including supermarket-promotion and dice contexts (P(not 6) = 5/6).</t>
        </is>
      </c>
      <c r="L117" t="inlineStr">
        <is>
          <t>auto-marked</t>
        </is>
      </c>
      <c r="N117" t="inlineStr">
        <is>
          <t>Planned</t>
        </is>
      </c>
    </row>
    <row r="118" ht="15" customHeight="1" s="1">
      <c r="A118" t="inlineStr">
        <is>
          <t>y8_pro_02</t>
        </is>
      </c>
      <c r="B118" t="n">
        <v>8</v>
      </c>
      <c r="C118" t="inlineStr">
        <is>
          <t>Probability</t>
        </is>
      </c>
      <c r="D118" t="n">
        <v>2</v>
      </c>
      <c r="E118" t="inlineStr">
        <is>
          <t>two_way_tables_and_venn_diagrams</t>
        </is>
      </c>
      <c r="F118" t="inlineStr">
        <is>
          <t>y8_pro_02_two_way_tables_and_venn_diagrams_v2.html</t>
        </is>
      </c>
      <c r="G118" t="inlineStr">
        <is>
          <t>AC9M8P02</t>
        </is>
      </c>
      <c r="H118" t="inlineStr">
        <is>
          <t>1,3</t>
        </is>
      </c>
      <c r="I118" t="inlineStr">
        <is>
          <t>Strict</t>
        </is>
      </c>
      <c r="J118" t="inlineStr">
        <is>
          <t>The sample space for 2 events can be presented diagrammatically in a variety of ways to determine the probabilities of specific outcomes, including compound events</t>
        </is>
      </c>
      <c r="K118" t="inlineStr">
        <is>
          <t>Construct two-way tables and Venn diagrams for two events; calculate probabilities involving 'and', exclusive 'or', inclusive 'or' using language precisely; populate tables from word problems.</t>
        </is>
      </c>
      <c r="L118" t="inlineStr">
        <is>
          <t>auto-marked</t>
        </is>
      </c>
      <c r="M118" t="inlineStr">
        <is>
          <t>y8_pro_01</t>
        </is>
      </c>
      <c r="N118" t="inlineStr">
        <is>
          <t>Planned</t>
        </is>
      </c>
    </row>
    <row r="119" ht="15" customHeight="1" s="1">
      <c r="A119" t="inlineStr">
        <is>
          <t>y8_pro_03</t>
        </is>
      </c>
      <c r="B119" t="n">
        <v>8</v>
      </c>
      <c r="C119" t="inlineStr">
        <is>
          <t>Probability</t>
        </is>
      </c>
      <c r="D119" t="n">
        <v>3</v>
      </c>
      <c r="E119" t="inlineStr">
        <is>
          <t>mutually_exclusive_and_inclusive_events</t>
        </is>
      </c>
      <c r="F119" t="inlineStr">
        <is>
          <t>y8_pro_03_mutually_exclusive_and_inclusive_events_v2.html</t>
        </is>
      </c>
      <c r="G119" t="inlineStr">
        <is>
          <t>AC9M8P02</t>
        </is>
      </c>
      <c r="H119" t="inlineStr">
        <is>
          <t>2,3,4</t>
        </is>
      </c>
      <c r="I119" t="inlineStr">
        <is>
          <t>Strict</t>
        </is>
      </c>
      <c r="J119" t="inlineStr">
        <is>
          <t>The sample space for 2 events can be presented diagrammatically in a variety of ways to determine the probabilities of specific outcomes, including compound events</t>
        </is>
      </c>
      <c r="K119" t="inlineStr">
        <is>
          <t>Distinguish mutually exclusive events (P(A and B) = 0) from inclusive events; apply Pr(A and B) + Pr(A and not B) + Pr(not A and B) + Pr(not A and not B) = 1; explore the Battendi game from the Ngarrindjeri Peoples.</t>
        </is>
      </c>
      <c r="L119" t="inlineStr">
        <is>
          <t>auto-marked</t>
        </is>
      </c>
      <c r="M119" t="inlineStr">
        <is>
          <t>y8_pro_02</t>
        </is>
      </c>
      <c r="N119" t="inlineStr">
        <is>
          <t>Planned</t>
        </is>
      </c>
    </row>
    <row r="120" ht="15" customHeight="1" s="1">
      <c r="A120" t="inlineStr">
        <is>
          <t>y8_pro_04</t>
        </is>
      </c>
      <c r="B120" t="n">
        <v>8</v>
      </c>
      <c r="C120" t="inlineStr">
        <is>
          <t>Probability</t>
        </is>
      </c>
      <c r="D120" t="n">
        <v>4</v>
      </c>
      <c r="E120" t="inlineStr">
        <is>
          <t>simulating_compound_events</t>
        </is>
      </c>
      <c r="F120" t="inlineStr">
        <is>
          <t>y8_pro_04_simulating_compound_events_v2.html</t>
        </is>
      </c>
      <c r="G120" t="inlineStr">
        <is>
          <t>AC9M8P03</t>
        </is>
      </c>
      <c r="H120" t="inlineStr">
        <is>
          <t>1,2,3</t>
        </is>
      </c>
      <c r="I120" t="inlineStr">
        <is>
          <t>Strict</t>
        </is>
      </c>
      <c r="J120" t="inlineStr">
        <is>
          <t>The sample space for 2 events can be presented diagrammatically in a variety of ways to determine the probabilities of specific outcomes, including compound events</t>
        </is>
      </c>
      <c r="K120" t="inlineStr">
        <is>
          <t>Use digital random-number generators to simulate compound events; compare experimental probabilities with theoretical predictions; investigate the dice-difference experiment to see which differences occur most often.</t>
        </is>
      </c>
      <c r="L120" t="inlineStr">
        <is>
          <t>auto-marked + open-ended</t>
        </is>
      </c>
      <c r="M120" t="inlineStr">
        <is>
          <t>y8_pro_03</t>
        </is>
      </c>
      <c r="N120" t="inlineStr">
        <is>
          <t>Planned</t>
        </is>
      </c>
      <c r="Q120" t="inlineStr">
        <is>
          <t>Builds on Y7 pro_03 (simulation work) with two-event compound focus.</t>
        </is>
      </c>
    </row>
    <row r="121" ht="15" customHeight="1" s="1">
      <c r="A121" t="inlineStr">
        <is>
          <t>y9_num_01</t>
        </is>
      </c>
      <c r="B121" t="n">
        <v>9</v>
      </c>
      <c r="C121" t="inlineStr">
        <is>
          <t>Number</t>
        </is>
      </c>
      <c r="D121" t="n">
        <v>1</v>
      </c>
      <c r="E121" t="inlineStr">
        <is>
          <t>the_real_number_system_and_number_line</t>
        </is>
      </c>
      <c r="F121" t="inlineStr">
        <is>
          <t>y9_num_01_the_real_number_system_and_number_line_v2.html</t>
        </is>
      </c>
      <c r="G121" t="inlineStr">
        <is>
          <t>AC9M9N01</t>
        </is>
      </c>
      <c r="H121" t="inlineStr">
        <is>
          <t>1,2,5</t>
        </is>
      </c>
      <c r="I121" t="inlineStr">
        <is>
          <t>Strict</t>
        </is>
      </c>
      <c r="J121" t="inlineStr">
        <is>
          <t>Rational and irrational numbers can be represented in many forms, including on a number line, and can be used to find exact and approximate values</t>
        </is>
      </c>
      <c r="K121" t="inlineStr">
        <is>
          <t>Classify numbers in the real number hierarchy — natural, integer, rational, irrational; locate rationals and surds like √2 on the number line using geometric construction; represent solutions to linear inequalities of the form ax + b &lt; c as intervals on a number line.</t>
        </is>
      </c>
      <c r="L121" t="inlineStr">
        <is>
          <t>auto-marked</t>
        </is>
      </c>
      <c r="N121" t="inlineStr">
        <is>
          <t>Planned</t>
        </is>
      </c>
      <c r="Q121" t="inlineStr">
        <is>
          <t>Builds on Y8 num_01/02 introduction of irrationals. Inequality-interval representation extends Y8 alg_08.</t>
        </is>
      </c>
    </row>
    <row r="122" ht="15" customHeight="1" s="1">
      <c r="A122" t="inlineStr">
        <is>
          <t>y9_num_02</t>
        </is>
      </c>
      <c r="B122" t="n">
        <v>9</v>
      </c>
      <c r="C122" t="inlineStr">
        <is>
          <t>Number</t>
        </is>
      </c>
      <c r="D122" t="n">
        <v>2</v>
      </c>
      <c r="E122" t="inlineStr">
        <is>
          <t>exact_form_calculations_and_budgeting</t>
        </is>
      </c>
      <c r="F122" t="inlineStr">
        <is>
          <t>y9_num_02_exact_form_calculations_and_budgeting_v2.html</t>
        </is>
      </c>
      <c r="G122" t="inlineStr">
        <is>
          <t>AC9M9N01</t>
        </is>
      </c>
      <c r="H122" t="inlineStr">
        <is>
          <t>3,4</t>
        </is>
      </c>
      <c r="I122" t="inlineStr">
        <is>
          <t>Strict</t>
        </is>
      </c>
      <c r="J122" t="inlineStr">
        <is>
          <t>Rational and irrational numbers can be represented in many forms, including on a number line, and can be used to find exact and approximate values</t>
        </is>
      </c>
      <c r="K122" t="inlineStr">
        <is>
          <t>Substitute real numbers into formulas including A = πr² and the distance formula; choose between exact form (in terms of π or with surds) and decimal approximations as the context demands; solve budgeting problems with positive and negative rationals.</t>
        </is>
      </c>
      <c r="L122" t="inlineStr">
        <is>
          <t>auto-marked</t>
        </is>
      </c>
      <c r="M122" t="inlineStr">
        <is>
          <t>y9_num_01</t>
        </is>
      </c>
      <c r="N122" t="inlineStr">
        <is>
          <t>Planned</t>
        </is>
      </c>
      <c r="Q122" t="inlineStr">
        <is>
          <t>Exact-form discipline is the new emphasis here vs Y8 — don't round prematurely.</t>
        </is>
      </c>
    </row>
    <row r="123" ht="15" customHeight="1" s="1">
      <c r="A123" t="inlineStr">
        <is>
          <t>y9_alg_01</t>
        </is>
      </c>
      <c r="B123" t="n">
        <v>9</v>
      </c>
      <c r="C123" t="inlineStr">
        <is>
          <t>Algebra</t>
        </is>
      </c>
      <c r="D123" t="n">
        <v>1</v>
      </c>
      <c r="E123" t="inlineStr">
        <is>
          <t>index_laws_product_quotient_power</t>
        </is>
      </c>
      <c r="F123" t="inlineStr">
        <is>
          <t>y9_alg_01_index_laws_product_quotient_power_v2.html</t>
        </is>
      </c>
      <c r="G123" t="inlineStr">
        <is>
          <t>AC9M9A01</t>
        </is>
      </c>
      <c r="H123" t="inlineStr">
        <is>
          <t>3,5</t>
        </is>
      </c>
      <c r="I123" t="inlineStr">
        <is>
          <t>Partial - this lesson covers the product, quotient and power-of-a-power laws with numerical bases</t>
        </is>
      </c>
      <c r="J123" t="inlineStr">
        <is>
          <t>Expressions involving exponent notation with integer or variable bases can be simplified or represented differently using the law of exponents</t>
        </is>
      </c>
      <c r="K123" t="inlineStr">
        <is>
          <t>Derive the product, quotient and power-of-a-power laws from first principles by counting repeated factors; worked examples 2^3 x 2^4, 7^5 / 7^2, (5^2)^3, (a^2)^3; Stretch/Mastery combine two or three laws and push to impractical-to-evaluate exponents.</t>
        </is>
      </c>
      <c r="L123" t="inlineStr">
        <is>
          <t>auto-marked</t>
        </is>
      </c>
      <c r="N123" t="inlineStr">
        <is>
          <t>Published</t>
        </is>
      </c>
      <c r="O123" t="inlineStr">
        <is>
          <t>2026-05-31</t>
        </is>
      </c>
      <c r="P123" t="inlineStr">
        <is>
          <t>https://seager94.github.io/year-9/algebra/y9_alg_01_index_laws_product_quotient_power_v2.html</t>
        </is>
      </c>
      <c r="Q123" t="inlineStr">
        <is>
          <t>Built 2026-05-31 (remote batch y9-alg-01). NEW lesson not in original plan - index laws given own dedicated lesson, shifting the A01/A02 sequence down by one.</t>
        </is>
      </c>
    </row>
    <row r="124" ht="15" customHeight="1" s="1">
      <c r="A124" t="inlineStr">
        <is>
          <t>y9_alg_02</t>
        </is>
      </c>
      <c r="B124" t="n">
        <v>9</v>
      </c>
      <c r="C124" t="inlineStr">
        <is>
          <t>Algebra</t>
        </is>
      </c>
      <c r="D124" t="n">
        <v>2</v>
      </c>
      <c r="E124" t="inlineStr">
        <is>
          <t>zero_and_negative_indices</t>
        </is>
      </c>
      <c r="F124" t="inlineStr">
        <is>
          <t>y9_alg_02_zero_and_negative_indices_v2.html</t>
        </is>
      </c>
      <c r="G124" t="inlineStr">
        <is>
          <t>AC9M9A01</t>
        </is>
      </c>
      <c r="H124" t="inlineStr">
        <is>
          <t>2,4</t>
        </is>
      </c>
      <c r="I124" t="inlineStr">
        <is>
          <t>Partial - this lesson covers the zero index and negative integer exponents</t>
        </is>
      </c>
      <c r="J124" t="inlineStr">
        <is>
          <t>Expressions involving exponent notation with integer or variable bases can be simplified or represented differently using the law of exponents</t>
        </is>
      </c>
      <c r="K124" t="inlineStr">
        <is>
          <t>Descending-powers pattern (2^3...2^-2) forces 2^0=1 and reciprocal negatives; worked examples 5^-3, (1/3)^-2, x^0; Always/Sometimes/Never targets the x^0=0 and negative-index-means-negative misconceptions.</t>
        </is>
      </c>
      <c r="L124" t="inlineStr">
        <is>
          <t>auto-marked</t>
        </is>
      </c>
      <c r="M124" t="inlineStr">
        <is>
          <t>y9_alg_01</t>
        </is>
      </c>
      <c r="N124" t="inlineStr">
        <is>
          <t>Published</t>
        </is>
      </c>
      <c r="O124" t="inlineStr">
        <is>
          <t>2026-05-31</t>
        </is>
      </c>
      <c r="P124" t="inlineStr">
        <is>
          <t>https://seager94.github.io/year-9/algebra/y9_alg_02_zero_and_negative_indices_v2.html</t>
        </is>
      </c>
      <c r="Q124" t="inlineStr">
        <is>
          <t>Built 2026-05-31 (remote batch y9-alg-01). Covers planned-01 negative_integer_exponents content.</t>
        </is>
      </c>
    </row>
    <row r="125" ht="15" customHeight="1" s="1">
      <c r="A125" t="inlineStr">
        <is>
          <t>y9_alg_03</t>
        </is>
      </c>
      <c r="B125" t="n">
        <v>9</v>
      </c>
      <c r="C125" t="inlineStr">
        <is>
          <t>Algebra</t>
        </is>
      </c>
      <c r="D125" t="n">
        <v>3</v>
      </c>
      <c r="E125" t="inlineStr">
        <is>
          <t>index_laws_with_variables</t>
        </is>
      </c>
      <c r="F125" t="inlineStr">
        <is>
          <t>y9_alg_03_index_laws_with_variables_v2.html</t>
        </is>
      </c>
      <c r="G125" t="inlineStr">
        <is>
          <t>AC9M9A01</t>
        </is>
      </c>
      <c r="H125" t="inlineStr">
        <is>
          <t>6</t>
        </is>
      </c>
      <c r="I125" t="inlineStr">
        <is>
          <t>Partial - this lesson covers applying the exponent laws to algebraic terms with variable bases</t>
        </is>
      </c>
      <c r="J125" t="inlineStr">
        <is>
          <t>Expressions involving exponent notation with integer or variable bases can be simplified or represented differently using the law of exponents</t>
        </is>
      </c>
      <c r="K125" t="inlineStr">
        <is>
          <t>Same laws on algebraic terms - coefficient and variable parts handled separately; worked examples 3x^2 x 4x^3, 12a^5/3a^2, (2x)^3, (2xy)^3/(xy^4); coefficient-vs-exponent confusion targeted explicitly.</t>
        </is>
      </c>
      <c r="L125" t="inlineStr">
        <is>
          <t>auto-marked</t>
        </is>
      </c>
      <c r="M125" t="inlineStr">
        <is>
          <t>y9_alg_02</t>
        </is>
      </c>
      <c r="N125" t="inlineStr">
        <is>
          <t>Published</t>
        </is>
      </c>
      <c r="O125" t="inlineStr">
        <is>
          <t>2026-05-31</t>
        </is>
      </c>
      <c r="P125" t="inlineStr">
        <is>
          <t>https://seager94.github.io/year-9/algebra/y9_alg_03_index_laws_with_variables_v2.html</t>
        </is>
      </c>
      <c r="Q125" t="inlineStr">
        <is>
          <t>Built 2026-05-31 (local, remote hit 32k token cap). Covers planned-02 exponent_laws_with_variables content.</t>
        </is>
      </c>
    </row>
    <row r="126" ht="15" customHeight="1" s="1">
      <c r="A126" t="inlineStr">
        <is>
          <t>y9_alg_04</t>
        </is>
      </c>
      <c r="B126" t="n">
        <v>9</v>
      </c>
      <c r="C126" t="inlineStr">
        <is>
          <t>Algebra</t>
        </is>
      </c>
      <c r="D126" t="n">
        <v>4</v>
      </c>
      <c r="E126" t="inlineStr">
        <is>
          <t>expanding_binomial_products</t>
        </is>
      </c>
      <c r="F126" t="inlineStr">
        <is>
          <t>y9_alg_04_expanding_binomial_products_v2.html</t>
        </is>
      </c>
      <c r="G126" t="inlineStr">
        <is>
          <t>AC9M9A02</t>
        </is>
      </c>
      <c r="H126" t="inlineStr">
        <is>
          <t>1,2</t>
        </is>
      </c>
      <c r="I126" t="inlineStr">
        <is>
          <t>Partial - this lesson covers expanding binomial products</t>
        </is>
      </c>
      <c r="J126" t="inlineStr">
        <is>
          <t>The parameters of quadratics and other functions determine the features of the related graph and can be adjusted depending on the purpose, context and application</t>
        </is>
      </c>
      <c r="K126" t="inlineStr">
        <is>
          <t>Expand (x+a)(x+b) via area model and distributive property; recognise x^2+(a+b)x+ab pattern.</t>
        </is>
      </c>
      <c r="L126" t="inlineStr">
        <is>
          <t>auto-marked</t>
        </is>
      </c>
      <c r="M126" t="inlineStr">
        <is>
          <t>y9_alg_03</t>
        </is>
      </c>
      <c r="N126" t="inlineStr">
        <is>
          <t>Published</t>
        </is>
      </c>
      <c r="O126" t="inlineStr">
        <is>
          <t>2026-05-31</t>
        </is>
      </c>
      <c r="P126" t="inlineStr">
        <is>
          <t>https://seager94.github.io/year-9/algebra/y9_alg_04_expanding_binomial_products_v2.html</t>
        </is>
      </c>
      <c r="Q126" t="inlineStr">
        <is>
          <t>Built 2026-05-31 (remote batch y9-alg-02). Covers planned-03 expanding_binomial_products content.</t>
        </is>
      </c>
    </row>
    <row r="127" ht="15" customHeight="1" s="1">
      <c r="A127" t="inlineStr">
        <is>
          <t>y9_alg_05</t>
        </is>
      </c>
      <c r="B127" t="n">
        <v>9</v>
      </c>
      <c r="C127" t="inlineStr">
        <is>
          <t>Algebra</t>
        </is>
      </c>
      <c r="D127" t="n">
        <v>5</v>
      </c>
      <c r="E127" t="inlineStr">
        <is>
          <t>special_products</t>
        </is>
      </c>
      <c r="F127" t="inlineStr">
        <is>
          <t>y9_alg_05_special_products_v2.html</t>
        </is>
      </c>
      <c r="G127" t="inlineStr">
        <is>
          <t>AC9M9A02</t>
        </is>
      </c>
      <c r="H127" t="inlineStr">
        <is>
          <t>1</t>
        </is>
      </c>
      <c r="I127" t="inlineStr">
        <is>
          <t>Partial - this lesson covers the special products perfect squares and difference of two squares</t>
        </is>
      </c>
      <c r="J127" t="inlineStr">
        <is>
          <t>The parameters of quadratics and other functions determine the features of the related graph and can be adjusted depending on the purpose, context and application</t>
        </is>
      </c>
      <c r="K127" t="inlineStr">
        <is>
          <t>Perfect-square (x+a)^2 and difference-of-two-squares (x-a)(x+a)=x^2-a^2 patterns.</t>
        </is>
      </c>
      <c r="L127" t="inlineStr">
        <is>
          <t>auto-marked</t>
        </is>
      </c>
      <c r="M127" t="inlineStr">
        <is>
          <t>y9_alg_04</t>
        </is>
      </c>
      <c r="N127" t="inlineStr">
        <is>
          <t>Published</t>
        </is>
      </c>
      <c r="O127" t="inlineStr">
        <is>
          <t>2026-05-31</t>
        </is>
      </c>
      <c r="P127" t="inlineStr">
        <is>
          <t>https://seager94.github.io/year-9/algebra/y9_alg_05_special_products_v2.html</t>
        </is>
      </c>
      <c r="Q127" t="inlineStr">
        <is>
          <t>Built 2026-05-31 (remote batch y9-alg-02). Aligns with planned-05 equivalent-quadratics/DOTS content.</t>
        </is>
      </c>
    </row>
    <row r="128" ht="15" customHeight="1" s="1">
      <c r="A128" t="inlineStr">
        <is>
          <t>y9_alg_06</t>
        </is>
      </c>
      <c r="B128" t="n">
        <v>9</v>
      </c>
      <c r="C128" t="inlineStr">
        <is>
          <t>Algebra</t>
        </is>
      </c>
      <c r="D128" t="n">
        <v>6</v>
      </c>
      <c r="E128" t="inlineStr">
        <is>
          <t>factorising_monic_quadratics</t>
        </is>
      </c>
      <c r="F128" t="inlineStr">
        <is>
          <t>y9_alg_06_factorising_monic_quadratics_v2.html</t>
        </is>
      </c>
      <c r="G128" t="inlineStr">
        <is>
          <t>AC9M9A02</t>
        </is>
      </c>
      <c r="H128" t="inlineStr">
        <is>
          <t>2,3</t>
        </is>
      </c>
      <c r="I128" t="inlineStr">
        <is>
          <t>Partial - this lesson covers factorising monic quadratic expressions</t>
        </is>
      </c>
      <c r="J128" t="inlineStr">
        <is>
          <t>The parameters of quadratics and other functions determine the features of the related graph and can be adjusted depending on the purpose, context and application</t>
        </is>
      </c>
      <c r="K128" t="inlineStr">
        <is>
          <t>Factorise x^2+mx+n via the integer pair multiplying to n and adding to m; verify by re-expanding.</t>
        </is>
      </c>
      <c r="L128" t="inlineStr">
        <is>
          <t>auto-marked</t>
        </is>
      </c>
      <c r="M128" t="inlineStr">
        <is>
          <t>y9_alg_05</t>
        </is>
      </c>
      <c r="N128" t="inlineStr">
        <is>
          <t>Published</t>
        </is>
      </c>
      <c r="O128" t="inlineStr">
        <is>
          <t>2026-05-31</t>
        </is>
      </c>
      <c r="P128" t="inlineStr">
        <is>
          <t>https://seager94.github.io/year-9/algebra/y9_alg_06_factorising_monic_quadratics_v2.html</t>
        </is>
      </c>
      <c r="Q128" t="inlineStr">
        <is>
          <t>Built 2026-05-31 (remote batch y9-alg-02). Covers planned-04 factorising_monic_quadratics content. NOTE: original plan had gradient_of_a_line at lesson 06 (AC9M9A03); that and all A03-A06 planned rows below are now DISPLACED and need a forward renumber in a dedicated Y9-Algebra reconciliation pass.</t>
        </is>
      </c>
    </row>
    <row r="129" ht="15" customHeight="1" s="1">
      <c r="A129" t="inlineStr">
        <is>
          <t>y9_alg_07</t>
        </is>
      </c>
      <c r="B129" t="n">
        <v>9</v>
      </c>
      <c r="C129" t="inlineStr">
        <is>
          <t>Algebra</t>
        </is>
      </c>
      <c r="D129" t="n">
        <v>7</v>
      </c>
      <c r="E129" t="inlineStr">
        <is>
          <t>distance_and_midpoint_between_points</t>
        </is>
      </c>
      <c r="F129" t="inlineStr">
        <is>
          <t>y9_alg_07_distance_and_midpoint_between_points_v2.html</t>
        </is>
      </c>
      <c r="G129" t="inlineStr">
        <is>
          <t>AC9M9A03</t>
        </is>
      </c>
      <c r="H129" t="inlineStr">
        <is>
          <t>3,4</t>
        </is>
      </c>
      <c r="I129" t="inlineStr">
        <is>
          <t>Strict</t>
        </is>
      </c>
      <c r="J129" t="inlineStr">
        <is>
          <t>On a Cartesian plane, the coordinates of 2 distinct points can be used to determine a range of measures of their orientation in relation to each other</t>
        </is>
      </c>
      <c r="K129" t="inlineStr">
        <is>
          <t>Use Pythagoras' theorem to derive the distance formula d = √[(x₂ − x₁)² + (y₂ − y₁)²]; find the midpoint of a line segment using the average of coordinates; apply both to coordinate-geometry problems.</t>
        </is>
      </c>
      <c r="L129" t="inlineStr">
        <is>
          <t>auto-marked</t>
        </is>
      </c>
      <c r="M129" t="inlineStr">
        <is>
          <t>y9_alg_06</t>
        </is>
      </c>
      <c r="N129" t="inlineStr">
        <is>
          <t>Planned</t>
        </is>
      </c>
      <c r="Q129" t="inlineStr">
        <is>
          <t>Cross-strand link: M03 elaboration 2 covers the same distance content from a measurement angle. Builds on Y8 mea_11 Pythagoras.</t>
        </is>
      </c>
    </row>
    <row r="130" ht="15" customHeight="1" s="1">
      <c r="A130" t="inlineStr">
        <is>
          <t>y9_alg_08</t>
        </is>
      </c>
      <c r="B130" t="n">
        <v>9</v>
      </c>
      <c r="C130" t="inlineStr">
        <is>
          <t>Algebra</t>
        </is>
      </c>
      <c r="D130" t="n">
        <v>8</v>
      </c>
      <c r="E130" t="inlineStr">
        <is>
          <t>parallel_and_perpendicular_lines</t>
        </is>
      </c>
      <c r="F130" t="inlineStr">
        <is>
          <t>y9_alg_08_parallel_and_perpendicular_lines_v2.html</t>
        </is>
      </c>
      <c r="G130" t="inlineStr">
        <is>
          <t>AC9M9A03</t>
        </is>
      </c>
      <c r="H130" t="inlineStr">
        <is>
          <t>2,5</t>
        </is>
      </c>
      <c r="I130" t="inlineStr">
        <is>
          <t>Strict</t>
        </is>
      </c>
      <c r="J130" t="inlineStr">
        <is>
          <t>On a Cartesian plane, the coordinates of 2 distinct points can be used to determine a range of measures of their orientation in relation to each other</t>
        </is>
      </c>
      <c r="K130" t="inlineStr">
        <is>
          <t>Use gradients to test whether two lines are parallel (m₁ = m₂) or perpendicular (m₁ × m₂ = −1); apply to coordinate-geometry problems; investigate gradients in real contexts using superimposed photos.</t>
        </is>
      </c>
      <c r="L130" t="inlineStr">
        <is>
          <t>auto-marked</t>
        </is>
      </c>
      <c r="M130" t="inlineStr">
        <is>
          <t>y9_alg_06</t>
        </is>
      </c>
      <c r="N130" t="inlineStr">
        <is>
          <t>Planned</t>
        </is>
      </c>
    </row>
    <row r="131" ht="15" customHeight="1" s="1">
      <c r="A131" t="inlineStr">
        <is>
          <t>y9_alg_09</t>
        </is>
      </c>
      <c r="B131" t="n">
        <v>9</v>
      </c>
      <c r="C131" t="inlineStr">
        <is>
          <t>Algebra</t>
        </is>
      </c>
      <c r="D131" t="n">
        <v>9</v>
      </c>
      <c r="E131" t="inlineStr">
        <is>
          <t>graphing_quadratic_functions</t>
        </is>
      </c>
      <c r="F131" t="inlineStr">
        <is>
          <t>y9_alg_09_graphing_quadratic_functions_v2.html</t>
        </is>
      </c>
      <c r="G131" t="inlineStr">
        <is>
          <t>AC9M9A04</t>
        </is>
      </c>
      <c r="H131" t="inlineStr">
        <is>
          <t>1,2</t>
        </is>
      </c>
      <c r="I131" t="inlineStr">
        <is>
          <t>Strict</t>
        </is>
      </c>
      <c r="J131" t="inlineStr">
        <is>
          <t>The parameters of quadratics and other functions determine the features of the related graph and can be adjusted depending on the purpose, context and application</t>
        </is>
      </c>
      <c r="K131" t="inlineStr">
        <is>
          <t>Identify quadratic relations from tables of values (constant second difference); plot quadratic functions y = x², y = x² + c, y = ax²; describe features — turning point, axis of symmetry, y-intercept, direction of opening; explore with graphing software.</t>
        </is>
      </c>
      <c r="L131" t="inlineStr">
        <is>
          <t>auto-marked</t>
        </is>
      </c>
      <c r="M131" t="inlineStr">
        <is>
          <t>y9_alg_03</t>
        </is>
      </c>
      <c r="N131" t="inlineStr">
        <is>
          <t>Planned</t>
        </is>
      </c>
      <c r="Q131" t="inlineStr">
        <is>
          <t>Watershed lesson: first formal non-linear function. Constant second-difference diagnostic is a key thinking tool.</t>
        </is>
      </c>
    </row>
    <row r="132" ht="15" customHeight="1" s="1">
      <c r="A132" t="inlineStr">
        <is>
          <t>y9_alg_10</t>
        </is>
      </c>
      <c r="B132" t="n">
        <v>9</v>
      </c>
      <c r="C132" t="inlineStr">
        <is>
          <t>Algebra</t>
        </is>
      </c>
      <c r="D132" t="n">
        <v>10</v>
      </c>
      <c r="E132" t="inlineStr">
        <is>
          <t>factorised_form_and_x_intercepts</t>
        </is>
      </c>
      <c r="F132" t="inlineStr">
        <is>
          <t>y9_alg_10_factorised_form_and_x_intercepts_v2.html</t>
        </is>
      </c>
      <c r="G132" t="inlineStr">
        <is>
          <t>AC9M9A04</t>
        </is>
      </c>
      <c r="H132" t="inlineStr">
        <is>
          <t>4,5,7</t>
        </is>
      </c>
      <c r="I132" t="inlineStr">
        <is>
          <t>Strict</t>
        </is>
      </c>
      <c r="J132" t="inlineStr">
        <is>
          <t>The parameters of quadratics and other functions determine the features of the related graph and can be adjusted depending on the purpose, context and application</t>
        </is>
      </c>
      <c r="K132" t="inlineStr">
        <is>
          <t>Connect the factorised form y = (x − a)(x − b) with x-intercepts at a and b via the null factor law; sketch quadratic graphs given their factorised form; recognise when a quadratic has no real x-intercepts; relate moon-phase illumination to a quadratic-shaped curve.</t>
        </is>
      </c>
      <c r="L132" t="inlineStr">
        <is>
          <t>auto-marked</t>
        </is>
      </c>
      <c r="M132" t="inlineStr">
        <is>
          <t>y9_alg_04,y9_alg_09</t>
        </is>
      </c>
      <c r="N132" t="inlineStr">
        <is>
          <t>Planned</t>
        </is>
      </c>
      <c r="Q132" t="inlineStr">
        <is>
          <t>Watershed lesson: null factor law is THE key threshold concept connecting algebra and geometry of quadratics.</t>
        </is>
      </c>
    </row>
    <row r="133" ht="15" customHeight="1" s="1">
      <c r="A133" t="inlineStr">
        <is>
          <t>y9_alg_11</t>
        </is>
      </c>
      <c r="B133" t="n">
        <v>9</v>
      </c>
      <c r="C133" t="inlineStr">
        <is>
          <t>Algebra</t>
        </is>
      </c>
      <c r="D133" t="n">
        <v>11</v>
      </c>
      <c r="E133" t="inlineStr">
        <is>
          <t>solving_monic_quadratic_equations</t>
        </is>
      </c>
      <c r="F133" t="inlineStr">
        <is>
          <t>y9_alg_11_solving_monic_quadratic_equations_v2.html</t>
        </is>
      </c>
      <c r="G133" t="inlineStr">
        <is>
          <t>AC9M9A04</t>
        </is>
      </c>
      <c r="H133" t="inlineStr">
        <is>
          <t>3,6</t>
        </is>
      </c>
      <c r="I133" t="inlineStr">
        <is>
          <t>Strict</t>
        </is>
      </c>
      <c r="J133" t="inlineStr">
        <is>
          <t>The parameters of quadratics and other functions determine the features of the related graph and can be adjusted depending on the purpose, context and application</t>
        </is>
      </c>
      <c r="K133" t="inlineStr">
        <is>
          <t>Solve monic quadratic equations x² + bx + c = 0 algebraically by factorising and applying the null factor law; verify solutions by substitution and compare with graphical solutions; include the x² = a case with solutions ±√a.</t>
        </is>
      </c>
      <c r="L133" t="inlineStr">
        <is>
          <t>auto-marked</t>
        </is>
      </c>
      <c r="M133" t="inlineStr">
        <is>
          <t>y9_alg_10</t>
        </is>
      </c>
      <c r="N133" t="inlineStr">
        <is>
          <t>Planned</t>
        </is>
      </c>
      <c r="Q133" t="inlineStr">
        <is>
          <t>Watershed lesson. The x² = a case is the simplest pre-completed-square; full completing-the-square is Y10.</t>
        </is>
      </c>
    </row>
    <row r="134" ht="15" customHeight="1" s="1">
      <c r="A134" t="inlineStr">
        <is>
          <t>y9_alg_12</t>
        </is>
      </c>
      <c r="B134" t="n">
        <v>9</v>
      </c>
      <c r="C134" t="inlineStr">
        <is>
          <t>Algebra</t>
        </is>
      </c>
      <c r="D134" t="n">
        <v>12</v>
      </c>
      <c r="E134" t="inlineStr">
        <is>
          <t>modelling_with_linear_functions</t>
        </is>
      </c>
      <c r="F134" t="inlineStr">
        <is>
          <t>y9_alg_12_modelling_with_linear_functions_v2.html</t>
        </is>
      </c>
      <c r="G134" t="inlineStr">
        <is>
          <t>AC9M9A05</t>
        </is>
      </c>
      <c r="H134" t="inlineStr">
        <is>
          <t>1,2,5</t>
        </is>
      </c>
      <c r="I134" t="inlineStr">
        <is>
          <t>Strict</t>
        </is>
      </c>
      <c r="J134" t="inlineStr">
        <is>
          <t>Mathematical modelling can be used to represent and solve problems involving changes, including financial contexts</t>
        </is>
      </c>
      <c r="K134" t="inlineStr">
        <is>
          <t>Model practical contexts using linear functions — cooking with resting times, water tank drainage, trade quotes with call-out fees, change-modelling for temperature and speed; interpret slope and y-intercept in context; check validity of the model.</t>
        </is>
      </c>
      <c r="L134" t="inlineStr">
        <is>
          <t>auto-marked + open-ended</t>
        </is>
      </c>
      <c r="M134" t="inlineStr">
        <is>
          <t>y9_alg_06</t>
        </is>
      </c>
      <c r="N134" t="inlineStr">
        <is>
          <t>Planned</t>
        </is>
      </c>
      <c r="Q134" t="inlineStr">
        <is>
          <t>Extends Y8 alg_10. Y9 emphasis is on full modelling cycle including evaluation and reporting.</t>
        </is>
      </c>
    </row>
    <row r="135" ht="15" customHeight="1" s="1">
      <c r="A135" t="inlineStr">
        <is>
          <t>y9_alg_13</t>
        </is>
      </c>
      <c r="B135" t="n">
        <v>9</v>
      </c>
      <c r="C135" t="inlineStr">
        <is>
          <t>Algebra</t>
        </is>
      </c>
      <c r="D135" t="n">
        <v>13</v>
      </c>
      <c r="E135" t="inlineStr">
        <is>
          <t>modelling_with_quadratic_functions</t>
        </is>
      </c>
      <c r="F135" t="inlineStr">
        <is>
          <t>y9_alg_13_modelling_with_quadratic_functions_v2.html</t>
        </is>
      </c>
      <c r="G135" t="inlineStr">
        <is>
          <t>AC9M9A05</t>
        </is>
      </c>
      <c r="H135" t="inlineStr">
        <is>
          <t>3,6</t>
        </is>
      </c>
      <c r="I135" t="inlineStr">
        <is>
          <t>Strict</t>
        </is>
      </c>
      <c r="J135" t="inlineStr">
        <is>
          <t>Mathematical modelling can be used to represent and solve problems involving changes, including financial contexts</t>
        </is>
      </c>
      <c r="K135" t="inlineStr">
        <is>
          <t>Model practical contexts using quadratic functions — projectile paths, parabolic mirrors and satellite dishes, area problems where one dimension is a linear function of another; identify and interpret turning point and intercepts in context; First Nations hunting techniques as a quadratic modelling context.</t>
        </is>
      </c>
      <c r="L135" t="inlineStr">
        <is>
          <t>auto-marked + open-ended</t>
        </is>
      </c>
      <c r="M135" t="inlineStr">
        <is>
          <t>y9_alg_09,y9_alg_10</t>
        </is>
      </c>
      <c r="N135" t="inlineStr">
        <is>
          <t>Planned</t>
        </is>
      </c>
      <c r="Q135" t="inlineStr">
        <is>
          <t>New in Y9 — quadratic modelling is the major addition over Y8.</t>
        </is>
      </c>
    </row>
    <row r="136" ht="15" customHeight="1" s="1">
      <c r="A136" t="inlineStr">
        <is>
          <t>y9_alg_14</t>
        </is>
      </c>
      <c r="B136" t="n">
        <v>9</v>
      </c>
      <c r="C136" t="inlineStr">
        <is>
          <t>Algebra</t>
        </is>
      </c>
      <c r="D136" t="n">
        <v>14</v>
      </c>
      <c r="E136" t="inlineStr">
        <is>
          <t>choosing_linear_or_quadratic_models</t>
        </is>
      </c>
      <c r="F136" t="inlineStr">
        <is>
          <t>y9_alg_14_choosing_linear_or_quadratic_models_v2.html</t>
        </is>
      </c>
      <c r="G136" t="inlineStr">
        <is>
          <t>AC9M9A05</t>
        </is>
      </c>
      <c r="H136" t="inlineStr">
        <is>
          <t>4</t>
        </is>
      </c>
      <c r="I136" t="inlineStr">
        <is>
          <t>Strict</t>
        </is>
      </c>
      <c r="J136" t="inlineStr">
        <is>
          <t>Mathematical modelling can be used to represent and solve problems involving changes, including financial contexts</t>
        </is>
      </c>
      <c r="K136" t="inlineStr">
        <is>
          <t>Choose between linear and quadratic models for financial contexts — combinations of purchases under a budget, profit/loss curves, trade quotes; justify the choice with reference to constant first-difference (linear) or constant second-difference (quadratic) patterns in data.</t>
        </is>
      </c>
      <c r="L136" t="inlineStr">
        <is>
          <t>auto-marked + open-ended</t>
        </is>
      </c>
      <c r="M136" t="inlineStr">
        <is>
          <t>y9_alg_12,y9_alg_13</t>
        </is>
      </c>
      <c r="N136" t="inlineStr">
        <is>
          <t>Planned</t>
        </is>
      </c>
      <c r="Q136" t="inlineStr">
        <is>
          <t>Finance context per house preference. Choice-of-model is the new skill — synthesises the prior two modelling lessons.</t>
        </is>
      </c>
    </row>
    <row r="137" ht="15" customHeight="1" s="1">
      <c r="A137" t="inlineStr">
        <is>
          <t>y9_alg_15</t>
        </is>
      </c>
      <c r="B137" t="n">
        <v>9</v>
      </c>
      <c r="C137" t="inlineStr">
        <is>
          <t>Algebra</t>
        </is>
      </c>
      <c r="D137" t="n">
        <v>15</v>
      </c>
      <c r="E137" t="inlineStr">
        <is>
          <t>transformations_of_linear_graphs</t>
        </is>
      </c>
      <c r="F137" t="inlineStr">
        <is>
          <t>y9_alg_15_transformations_of_linear_graphs_v2.html</t>
        </is>
      </c>
      <c r="G137" t="inlineStr">
        <is>
          <t>AC9M9A06</t>
        </is>
      </c>
      <c r="H137" t="inlineStr">
        <is>
          <t>1</t>
        </is>
      </c>
      <c r="I137" t="inlineStr">
        <is>
          <t>Strict</t>
        </is>
      </c>
      <c r="J137" t="inlineStr">
        <is>
          <t>The parameters of quadratics and other functions determine the features of the related graph and can be adjusted depending on the purpose, context and application</t>
        </is>
      </c>
      <c r="K137" t="inlineStr">
        <is>
          <t>Investigate transformations of the linear graph y = x — vertical enlargement (y = 2x), vertical compression (y = x/2), reflection (y = −x), vertical translation (y = 2x − 1); formalise the slope-intercept form y = mx + c.</t>
        </is>
      </c>
      <c r="L137" t="inlineStr">
        <is>
          <t>auto-marked + open-ended</t>
        </is>
      </c>
      <c r="M137" t="inlineStr">
        <is>
          <t>y9_alg_06</t>
        </is>
      </c>
      <c r="N137" t="inlineStr">
        <is>
          <t>Planned</t>
        </is>
      </c>
      <c r="Q137" t="inlineStr">
        <is>
          <t>Builds on Y8 alg_12 informal investigation; Y9 introduces formal transformation language — dilation, translation, reflection.</t>
        </is>
      </c>
    </row>
    <row r="138" ht="15" customHeight="1" s="1">
      <c r="A138" t="inlineStr">
        <is>
          <t>y9_alg_16</t>
        </is>
      </c>
      <c r="B138" t="n">
        <v>9</v>
      </c>
      <c r="C138" t="inlineStr">
        <is>
          <t>Algebra</t>
        </is>
      </c>
      <c r="D138" t="n">
        <v>16</v>
      </c>
      <c r="E138" t="inlineStr">
        <is>
          <t>transformations_of_quadratic_graphs</t>
        </is>
      </c>
      <c r="F138" t="inlineStr">
        <is>
          <t>y9_alg_16_transformations_of_quadratic_graphs_v2.html</t>
        </is>
      </c>
      <c r="G138" t="inlineStr">
        <is>
          <t>AC9M9A06</t>
        </is>
      </c>
      <c r="H138" t="inlineStr">
        <is>
          <t>2</t>
        </is>
      </c>
      <c r="I138" t="inlineStr">
        <is>
          <t>Strict</t>
        </is>
      </c>
      <c r="J138" t="inlineStr">
        <is>
          <t>The parameters of quadratics and other functions determine the features of the related graph and can be adjusted depending on the purpose, context and application</t>
        </is>
      </c>
      <c r="K138" t="inlineStr">
        <is>
          <t>Investigate transformations of the parabola y = x² in completed-square form y = a(x − h)² + k; identify how a controls dilation/reflection, h controls horizontal translation, k controls vertical translation; locate the turning point at (h, k).</t>
        </is>
      </c>
      <c r="L138" t="inlineStr">
        <is>
          <t>auto-marked + open-ended</t>
        </is>
      </c>
      <c r="M138" t="inlineStr">
        <is>
          <t>y9_alg_09,y9_alg_15</t>
        </is>
      </c>
      <c r="N138" t="inlineStr">
        <is>
          <t>Planned</t>
        </is>
      </c>
      <c r="Q138" t="inlineStr">
        <is>
          <t>Completed-square form introduced here as a parameter-variation tool, not as a solving technique (that's Y10).</t>
        </is>
      </c>
    </row>
    <row r="139" ht="15" customHeight="1" s="1">
      <c r="A139" t="inlineStr">
        <is>
          <t>y9_alg_17</t>
        </is>
      </c>
      <c r="B139" t="n">
        <v>9</v>
      </c>
      <c r="C139" t="inlineStr">
        <is>
          <t>Algebra</t>
        </is>
      </c>
      <c r="D139" t="n">
        <v>17</v>
      </c>
      <c r="E139" t="inlineStr">
        <is>
          <t>families_of_functions</t>
        </is>
      </c>
      <c r="F139" t="inlineStr">
        <is>
          <t>y9_alg_17_families_of_functions_v2.html</t>
        </is>
      </c>
      <c r="G139" t="inlineStr">
        <is>
          <t>AC9M9A06</t>
        </is>
      </c>
      <c r="H139" t="inlineStr">
        <is>
          <t>3</t>
        </is>
      </c>
      <c r="I139" t="inlineStr">
        <is>
          <t>Strict</t>
        </is>
      </c>
      <c r="J139" t="inlineStr">
        <is>
          <t>The parameters of quadratics and other functions determine the features of the related graph and can be adjusted depending on the purpose, context and application</t>
        </is>
      </c>
      <c r="K139" t="inlineStr">
        <is>
          <t>Explore other function families using digital tools — reciprocal y = 1/x, square root y = √x, cubic y = x³, exponential y = 2ˣ and y = (1/2)ˣ; identify key features and pattern-spot the effect of parameter changes.</t>
        </is>
      </c>
      <c r="L139" t="inlineStr">
        <is>
          <t>auto-marked + open-ended</t>
        </is>
      </c>
      <c r="M139" t="inlineStr">
        <is>
          <t>y9_alg_15,y9_alg_16</t>
        </is>
      </c>
      <c r="N139" t="inlineStr">
        <is>
          <t>Planned</t>
        </is>
      </c>
      <c r="Q139" t="inlineStr">
        <is>
          <t>Taster lesson — students will see each family more formally in Y10/11. Focus is on parameter-variation skill, not deep treatment.</t>
        </is>
      </c>
    </row>
    <row r="140" ht="15" customHeight="1" s="1">
      <c r="A140" t="inlineStr">
        <is>
          <t>y9_mea_01</t>
        </is>
      </c>
      <c r="B140" t="n">
        <v>9</v>
      </c>
      <c r="C140" t="inlineStr">
        <is>
          <t>Measurement</t>
        </is>
      </c>
      <c r="D140" t="n">
        <v>1</v>
      </c>
      <c r="E140" t="inlineStr">
        <is>
          <t>surface_area_of_right_prisms</t>
        </is>
      </c>
      <c r="F140" t="inlineStr">
        <is>
          <t>y9_mea_01_surface_area_of_right_prisms_v2.html</t>
        </is>
      </c>
      <c r="G140" t="inlineStr">
        <is>
          <t>AC9M9M01</t>
        </is>
      </c>
      <c r="H140" t="inlineStr">
        <is>
          <t>1</t>
        </is>
      </c>
      <c r="I140" t="inlineStr">
        <is>
          <t>Strict</t>
        </is>
      </c>
      <c r="J140" t="inlineStr">
        <is>
          <t>Spatial relationships in 1, 2 and 3 dimensions can be quantified using appropriate units to solve problems in various contexts</t>
        </is>
      </c>
      <c r="K140" t="inlineStr">
        <is>
          <t>Use nets to derive surface-area formulas for rectangular and triangular right prisms; calculate surface area by summing component face areas; verify by re-drawing the net in a different layout.</t>
        </is>
      </c>
      <c r="L140" t="inlineStr">
        <is>
          <t>auto-marked</t>
        </is>
      </c>
      <c r="N140" t="inlineStr">
        <is>
          <t>Published</t>
        </is>
      </c>
      <c r="O140" s="13" t="n">
        <v>46297</v>
      </c>
      <c r="P140" t="inlineStr">
        <is>
          <t>https://seager94.github.io/year-9/measurement/y9_mea_01_surface_area_of_right_prisms_v2.html</t>
        </is>
      </c>
      <c r="Q140" t="inlineStr">
        <is>
          <t>Surface area is new in Y9 — Y8 covered volume of prisms (mea_03/04) but not SA.</t>
        </is>
      </c>
    </row>
    <row r="141" ht="15" customHeight="1" s="1">
      <c r="A141" t="inlineStr">
        <is>
          <t>y9_mea_02</t>
        </is>
      </c>
      <c r="B141" t="n">
        <v>9</v>
      </c>
      <c r="C141" t="inlineStr">
        <is>
          <t>Measurement</t>
        </is>
      </c>
      <c r="D141" t="n">
        <v>2</v>
      </c>
      <c r="E141" t="inlineStr">
        <is>
          <t>surface_area_and_volume_of_cylinders</t>
        </is>
      </c>
      <c r="F141" t="inlineStr">
        <is>
          <t>y9_mea_02_surface_area_and_volume_of_cylinders_v2.html</t>
        </is>
      </c>
      <c r="G141" t="inlineStr">
        <is>
          <t>AC9M9M01</t>
        </is>
      </c>
      <c r="H141" t="inlineStr">
        <is>
          <t>1,2</t>
        </is>
      </c>
      <c r="I141" t="inlineStr">
        <is>
          <t>Strict</t>
        </is>
      </c>
      <c r="J141" t="inlineStr">
        <is>
          <t>Spatial relationships in 1, 2 and 3 dimensions can be quantified using appropriate units to solve problems in various contexts</t>
        </is>
      </c>
      <c r="K141" t="inlineStr">
        <is>
          <t>Apply formulas V = πr²h and SA = 2πr² + 2πrh for a cylinder; derive the curved-surface area by unrolling the cylinder into a rectangle of dimensions 2πr by h; can-cooler material problems.</t>
        </is>
      </c>
      <c r="L141" t="inlineStr">
        <is>
          <t>auto-marked</t>
        </is>
      </c>
      <c r="M141" t="inlineStr">
        <is>
          <t>y9_mea_01</t>
        </is>
      </c>
      <c r="N141" t="inlineStr">
        <is>
          <t>Published</t>
        </is>
      </c>
      <c r="O141" s="13" t="n">
        <v>46297</v>
      </c>
      <c r="P141" t="inlineStr">
        <is>
          <t>https://seager94.github.io/year-9/measurement/y9_mea_02_surface_area_and_volume_of_cylinders_v2.html</t>
        </is>
      </c>
      <c r="Q141" t="inlineStr">
        <is>
          <t>Watershed lesson: the unrolling visualisation is essential for retention. Cylinder is the first non-prism solid Y9 students meet formally.</t>
        </is>
      </c>
    </row>
    <row r="142" ht="15" customHeight="1" s="1">
      <c r="A142" t="inlineStr">
        <is>
          <t>y9_mea_03</t>
        </is>
      </c>
      <c r="B142" t="n">
        <v>9</v>
      </c>
      <c r="C142" t="inlineStr">
        <is>
          <t>Measurement</t>
        </is>
      </c>
      <c r="D142" t="n">
        <v>3</v>
      </c>
      <c r="E142" t="inlineStr">
        <is>
          <t>optimising_surface_area_and_volume</t>
        </is>
      </c>
      <c r="F142" t="inlineStr">
        <is>
          <t>y9_mea_03_optimising_surface_area_and_volume_v2.html</t>
        </is>
      </c>
      <c r="G142" t="inlineStr">
        <is>
          <t>AC9M9M01</t>
        </is>
      </c>
      <c r="H142" t="inlineStr">
        <is>
          <t>3,4</t>
        </is>
      </c>
      <c r="I142" t="inlineStr">
        <is>
          <t>Strict</t>
        </is>
      </c>
      <c r="J142" t="inlineStr">
        <is>
          <t>Spatial relationships in 1, 2 and 3 dimensions can be quantified using appropriate units to solve problems in various contexts</t>
        </is>
      </c>
      <c r="K142" t="inlineStr">
        <is>
          <t>Investigate optimisation problems — prisms with the same volume but different surface areas; can-cooler material minimisation; conjecture and test which shapes give the smallest surface area for a given volume; First Nations objects/technologies as SA-volume contexts.</t>
        </is>
      </c>
      <c r="L142" t="inlineStr">
        <is>
          <t>auto-marked + open-ended</t>
        </is>
      </c>
      <c r="M142" t="inlineStr">
        <is>
          <t>y9_mea_01,y9_mea_02</t>
        </is>
      </c>
      <c r="N142" t="inlineStr">
        <is>
          <t>Published</t>
        </is>
      </c>
      <c r="O142" s="13" t="n">
        <v>46297</v>
      </c>
      <c r="P142" t="inlineStr">
        <is>
          <t>https://seager94.github.io/year-9/measurement/y9_mea_03_optimising_surface_area_and_volume_v2.html</t>
        </is>
      </c>
      <c r="Q142" t="inlineStr">
        <is>
          <t>Investigation-style lesson — practice should include some open-response conjecture-and-test items.</t>
        </is>
      </c>
    </row>
    <row r="143" ht="15" customHeight="1" s="1">
      <c r="A143" t="inlineStr">
        <is>
          <t>y9_mea_04</t>
        </is>
      </c>
      <c r="B143" t="n">
        <v>9</v>
      </c>
      <c r="C143" t="inlineStr">
        <is>
          <t>Measurement</t>
        </is>
      </c>
      <c r="D143" t="n">
        <v>4</v>
      </c>
      <c r="E143" t="inlineStr">
        <is>
          <t>introducing_scientific_notation</t>
        </is>
      </c>
      <c r="F143" t="inlineStr">
        <is>
          <t>y9_mea_04_introducing_scientific_notation_v2.html</t>
        </is>
      </c>
      <c r="G143" t="inlineStr">
        <is>
          <t>AC9M9M02, AC9M9A01</t>
        </is>
      </c>
      <c r="H143" t="inlineStr">
        <is>
          <t>1 (M02); 7 (A01)</t>
        </is>
      </c>
      <c r="I143" t="inlineStr">
        <is>
          <t>Strict + cross-tag</t>
        </is>
      </c>
      <c r="J143" t="inlineStr">
        <is>
          <t>Spatial relationships in 1, 2 and 3 dimensions can be quantified using appropriate units to solve problems in various contexts</t>
        </is>
      </c>
      <c r="K143" t="inlineStr">
        <is>
          <t>Convert numbers between standard form and scientific notation a × 10ⁿ where 1 ≤ a &lt; 10; represent very large quantities (4.6 × 10⁹ for the age of the Earth) and very small ones (5.68 × 10⁻²¹ for the mass of a sugar molecule); connect to SI prefixes from pico- to tera-.</t>
        </is>
      </c>
      <c r="L143" t="inlineStr">
        <is>
          <t>auto-marked</t>
        </is>
      </c>
      <c r="M143" t="inlineStr">
        <is>
          <t>y9_alg_01</t>
        </is>
      </c>
      <c r="N143" t="inlineStr">
        <is>
          <t>Published</t>
        </is>
      </c>
      <c r="O143" s="13" t="n">
        <v>46298</v>
      </c>
      <c r="P143" t="inlineStr">
        <is>
          <t>https://seager94.github.io/year-9/measurement/y9_mea_04_introducing_scientific_notation_v2.html</t>
        </is>
      </c>
      <c r="Q143" t="inlineStr">
        <is>
          <t>Cross-strand prereq: needs y9_alg_01 negative exponents. Important sequencing — Algebra first, then Measurement.</t>
        </is>
      </c>
    </row>
    <row r="144" ht="15" customHeight="1" s="1">
      <c r="A144" t="inlineStr">
        <is>
          <t>y9_mea_05</t>
        </is>
      </c>
      <c r="B144" t="n">
        <v>9</v>
      </c>
      <c r="C144" t="inlineStr">
        <is>
          <t>Measurement</t>
        </is>
      </c>
      <c r="D144" t="n">
        <v>5</v>
      </c>
      <c r="E144" t="inlineStr">
        <is>
          <t>operations_with_scientific_notation</t>
        </is>
      </c>
      <c r="F144" t="inlineStr">
        <is>
          <t>y9_mea_05_operations_with_scientific_notation_v2.html</t>
        </is>
      </c>
      <c r="G144" t="inlineStr">
        <is>
          <t>AC9M9M02</t>
        </is>
      </c>
      <c r="H144" t="inlineStr">
        <is>
          <t>2,3</t>
        </is>
      </c>
      <c r="I144" t="inlineStr">
        <is>
          <t>Strict</t>
        </is>
      </c>
      <c r="J144" t="inlineStr">
        <is>
          <t>Spatial relationships in 1, 2 and 3 dimensions can be quantified using appropriate units to solve problems in various contexts</t>
        </is>
      </c>
      <c r="K144" t="inlineStr">
        <is>
          <t>Multiply and divide numbers in scientific notation using exponent laws; estimate orders of magnitude for products and quotients; record measurements to an accuracy appropriate to the measuring instrument (cylinder vs pipette).</t>
        </is>
      </c>
      <c r="L144" t="inlineStr">
        <is>
          <t>auto-marked</t>
        </is>
      </c>
      <c r="M144" t="inlineStr">
        <is>
          <t>y9_mea_04</t>
        </is>
      </c>
      <c r="N144" t="inlineStr">
        <is>
          <t>Planned</t>
        </is>
      </c>
    </row>
    <row r="145" ht="15" customHeight="1" s="1">
      <c r="A145" t="inlineStr">
        <is>
          <t>y9_mea_06</t>
        </is>
      </c>
      <c r="B145" t="n">
        <v>9</v>
      </c>
      <c r="C145" t="inlineStr">
        <is>
          <t>Measurement</t>
        </is>
      </c>
      <c r="D145" t="n">
        <v>6</v>
      </c>
      <c r="E145" t="inlineStr">
        <is>
          <t>applying_pythagoras_and_trig_to_spatial_problems</t>
        </is>
      </c>
      <c r="F145" t="inlineStr">
        <is>
          <t>y9_mea_06_applying_pythagoras_and_trig_to_spatial_problems_v2.html</t>
        </is>
      </c>
      <c r="G145" t="inlineStr">
        <is>
          <t>AC9M9M03</t>
        </is>
      </c>
      <c r="H145" t="inlineStr">
        <is>
          <t>1,2</t>
        </is>
      </c>
      <c r="I145" t="inlineStr">
        <is>
          <t>Strict</t>
        </is>
      </c>
      <c r="J145" t="inlineStr">
        <is>
          <t>Spatial relationships in 1, 2 and 3 dimensions can be quantified using appropriate units to solve problems in various contexts</t>
        </is>
      </c>
      <c r="K145" t="inlineStr">
        <is>
          <t>Apply Pythagoras' theorem and trigonometric ratios together in spatial problems — surveying, ramp design, building diagonals; multi-step problems where Pythagoras gives one side and trig gives an angle, or vice versa; distance between Cartesian points as a Pythagoras application.</t>
        </is>
      </c>
      <c r="L145" t="inlineStr">
        <is>
          <t>auto-marked</t>
        </is>
      </c>
      <c r="M145" t="inlineStr">
        <is>
          <t>y9_spa_03</t>
        </is>
      </c>
      <c r="N145" t="inlineStr">
        <is>
          <t>Planned</t>
        </is>
      </c>
      <c r="Q145" t="inlineStr">
        <is>
          <t>Cross-strand prereq: needs y9_spa_03 (sin/cos/tan defined). Important sequencing — Space SP01 must come before this. M03 elaboration 2 (distance) also covered in y9_alg_07.</t>
        </is>
      </c>
    </row>
    <row r="146" ht="15" customHeight="1" s="1">
      <c r="A146" t="inlineStr">
        <is>
          <t>y9_mea_07</t>
        </is>
      </c>
      <c r="B146" t="n">
        <v>9</v>
      </c>
      <c r="C146" t="inlineStr">
        <is>
          <t>Measurement</t>
        </is>
      </c>
      <c r="D146" t="n">
        <v>7</v>
      </c>
      <c r="E146" t="inlineStr">
        <is>
          <t>scale_factor_effect_on_area_and_volume</t>
        </is>
      </c>
      <c r="F146" t="inlineStr">
        <is>
          <t>y9_mea_07_scale_factor_effect_on_area_and_volume_v2.html</t>
        </is>
      </c>
      <c r="G146" t="inlineStr">
        <is>
          <t>AC9M9M03</t>
        </is>
      </c>
      <c r="H146" t="inlineStr">
        <is>
          <t>3,4</t>
        </is>
      </c>
      <c r="I146" t="inlineStr">
        <is>
          <t>Strict</t>
        </is>
      </c>
      <c r="J146" t="inlineStr">
        <is>
          <t>Spatial relationships in 1, 2 and 3 dimensions can be quantified using appropriate units to solve problems in various contexts</t>
        </is>
      </c>
      <c r="K146" t="inlineStr">
        <is>
          <t>Investigate the effect of scale factor k on area (× k²) and volume (× k³) for similar figures; apply to scaled models, photographs and original objects; estimate actual measurements from images using proportional reasoning.</t>
        </is>
      </c>
      <c r="L146" t="inlineStr">
        <is>
          <t>auto-marked</t>
        </is>
      </c>
      <c r="M146" t="inlineStr">
        <is>
          <t>y9_spa_05</t>
        </is>
      </c>
      <c r="N146" t="inlineStr">
        <is>
          <t>Planned</t>
        </is>
      </c>
      <c r="Q146" t="inlineStr">
        <is>
          <t>Overlaps with y9_spa_05 — M03 focus is on similar right triangles and applications; SP02 focus is on the enlargement transformation itself. Cross-tag noted.</t>
        </is>
      </c>
    </row>
    <row r="147" ht="15" customHeight="1" s="1">
      <c r="A147" t="inlineStr">
        <is>
          <t>y9_mea_08</t>
        </is>
      </c>
      <c r="B147" t="n">
        <v>9</v>
      </c>
      <c r="C147" t="inlineStr">
        <is>
          <t>Measurement</t>
        </is>
      </c>
      <c r="D147" t="n">
        <v>8</v>
      </c>
      <c r="E147" t="inlineStr">
        <is>
          <t>integrated_spatial_problem_solving</t>
        </is>
      </c>
      <c r="F147" t="inlineStr">
        <is>
          <t>y9_mea_08_integrated_spatial_problem_solving_v2.html</t>
        </is>
      </c>
      <c r="G147" t="inlineStr">
        <is>
          <t>AC9M9M03</t>
        </is>
      </c>
      <c r="H147" t="inlineStr">
        <is>
          <t>5,6</t>
        </is>
      </c>
      <c r="I147" t="inlineStr">
        <is>
          <t>Strict</t>
        </is>
      </c>
      <c r="J147" t="inlineStr">
        <is>
          <t>Spatial relationships in 1, 2 and 3 dimensions can be quantified using appropriate units to solve problems in various contexts</t>
        </is>
      </c>
      <c r="K147" t="inlineStr">
        <is>
          <t>Integrate similarity, Pythagoras' theorem, rates and algebra in extended problems — Biltmore stick design for measuring tree height and diameter; the triangle inequality and related conjectures for acute/obtuse triangles; minimal information sets to determine a triangle.</t>
        </is>
      </c>
      <c r="L147" t="inlineStr">
        <is>
          <t>auto-marked + open-ended</t>
        </is>
      </c>
      <c r="M147" t="inlineStr">
        <is>
          <t>y9_mea_06,y9_mea_07</t>
        </is>
      </c>
      <c r="N147" t="inlineStr">
        <is>
          <t>Planned</t>
        </is>
      </c>
      <c r="Q147" t="inlineStr">
        <is>
          <t>Integration lesson — open-ended practice fits the conjecture/investigation flavour.</t>
        </is>
      </c>
    </row>
    <row r="148" ht="15" customHeight="1" s="1">
      <c r="A148" t="inlineStr">
        <is>
          <t>y9_mea_09</t>
        </is>
      </c>
      <c r="B148" t="n">
        <v>9</v>
      </c>
      <c r="C148" t="inlineStr">
        <is>
          <t>Measurement</t>
        </is>
      </c>
      <c r="D148" t="n">
        <v>9</v>
      </c>
      <c r="E148" t="inlineStr">
        <is>
          <t>absolute_relative_and_percentage_error</t>
        </is>
      </c>
      <c r="F148" t="inlineStr">
        <is>
          <t>y9_mea_09_absolute_relative_and_percentage_error_v2.html</t>
        </is>
      </c>
      <c r="G148" t="inlineStr">
        <is>
          <t>AC9M9M04</t>
        </is>
      </c>
      <c r="H148" t="inlineStr">
        <is>
          <t>1,2</t>
        </is>
      </c>
      <c r="I148" t="inlineStr">
        <is>
          <t>Strict</t>
        </is>
      </c>
      <c r="J148" t="inlineStr">
        <is>
          <t>Calculations are affected by sources of error and should be interpreted in the context of the problem</t>
        </is>
      </c>
      <c r="K148" t="inlineStr">
        <is>
          <t>Calculate absolute error |measured − exact|, relative error (absolute error ÷ exact value), and percentage error; use absolute value notation in the error formula; recognise that all measurements are estimates with associated uncertainty.</t>
        </is>
      </c>
      <c r="L148" t="inlineStr">
        <is>
          <t>auto-marked</t>
        </is>
      </c>
      <c r="N148" t="inlineStr">
        <is>
          <t>Published</t>
        </is>
      </c>
      <c r="O148" s="13" t="n">
        <v>46299</v>
      </c>
      <c r="P148" t="inlineStr">
        <is>
          <t>https://seager94.github.io/year-9/measurement/y9_mea_09_absolute_relative_and_percentage_error_v2.html</t>
        </is>
      </c>
    </row>
    <row r="149" ht="15" customHeight="1" s="1">
      <c r="A149" t="inlineStr">
        <is>
          <t>y9_mea_10</t>
        </is>
      </c>
      <c r="B149" t="n">
        <v>9</v>
      </c>
      <c r="C149" t="inlineStr">
        <is>
          <t>Measurement</t>
        </is>
      </c>
      <c r="D149" t="n">
        <v>10</v>
      </c>
      <c r="E149" t="inlineStr">
        <is>
          <t>applying_error_to_real_contexts</t>
        </is>
      </c>
      <c r="F149" t="inlineStr">
        <is>
          <t>y9_mea_10_applying_error_to_real_contexts_v2.html</t>
        </is>
      </c>
      <c r="G149" t="inlineStr">
        <is>
          <t>AC9M9M04</t>
        </is>
      </c>
      <c r="H149" t="inlineStr">
        <is>
          <t>3,4</t>
        </is>
      </c>
      <c r="I149" t="inlineStr">
        <is>
          <t>Strict</t>
        </is>
      </c>
      <c r="J149" t="inlineStr">
        <is>
          <t>Calculations are affected by sources of error and should be interpreted in the context of the problem</t>
        </is>
      </c>
      <c r="K149" t="inlineStr">
        <is>
          <t>Apply error analysis to real contexts — percentage error in predicted vs actual event attendance; budgeted vs actual expenditure; give suitable lower and upper bounds for measurement values in practical contexts.</t>
        </is>
      </c>
      <c r="L149" t="inlineStr">
        <is>
          <t>auto-marked + open-ended</t>
        </is>
      </c>
      <c r="M149" t="inlineStr">
        <is>
          <t>y9_mea_09</t>
        </is>
      </c>
      <c r="N149" t="inlineStr">
        <is>
          <t>Planned</t>
        </is>
      </c>
    </row>
    <row r="150" ht="15" customHeight="1" s="1">
      <c r="A150" t="inlineStr">
        <is>
          <t>y9_mea_11</t>
        </is>
      </c>
      <c r="B150" t="n">
        <v>9</v>
      </c>
      <c r="C150" t="inlineStr">
        <is>
          <t>Measurement</t>
        </is>
      </c>
      <c r="D150" t="n">
        <v>11</v>
      </c>
      <c r="E150" t="inlineStr">
        <is>
          <t>modelling_with_direct_proportion</t>
        </is>
      </c>
      <c r="F150" t="inlineStr">
        <is>
          <t>y9_mea_11_modelling_with_direct_proportion_v2.html</t>
        </is>
      </c>
      <c r="G150" t="inlineStr">
        <is>
          <t>AC9M9M05</t>
        </is>
      </c>
      <c r="H150" t="inlineStr">
        <is>
          <t>1,2,3</t>
        </is>
      </c>
      <c r="I150" t="inlineStr">
        <is>
          <t>Strict</t>
        </is>
      </c>
      <c r="J150" t="inlineStr">
        <is>
          <t>Mathematical modelling can be used to represent and solve problems involving proportion, rates, ratios and scale, including in financial contexts</t>
        </is>
      </c>
      <c r="K150" t="inlineStr">
        <is>
          <t>Model direct-proportion situations — pro rata pay rates, currency exchange, multiple quotes for a job, Hooke's law from physics; investigate situations where proportion is not maintained (image editing/distortion); building and construction standards for staircases and escalators.</t>
        </is>
      </c>
      <c r="L150" t="inlineStr">
        <is>
          <t>auto-marked + open-ended</t>
        </is>
      </c>
      <c r="N150" t="inlineStr">
        <is>
          <t>Published</t>
        </is>
      </c>
      <c r="O150" s="13" t="n">
        <v>46300</v>
      </c>
      <c r="P150" t="inlineStr">
        <is>
          <t>https://seager94.github.io/year-9/measurement/y9_mea_11_modelling_with_direct_proportion_v2.html</t>
        </is>
      </c>
      <c r="Q150" t="inlineStr">
        <is>
          <t>Extends Y8 mea_14 scale and proportion work; Y9 adds the formal modelling cycle.</t>
        </is>
      </c>
    </row>
    <row r="151" ht="15" customHeight="1" s="1">
      <c r="A151" t="inlineStr">
        <is>
          <t>y9_mea_12</t>
        </is>
      </c>
      <c r="B151" t="n">
        <v>9</v>
      </c>
      <c r="C151" t="inlineStr">
        <is>
          <t>Measurement</t>
        </is>
      </c>
      <c r="D151" t="n">
        <v>12</v>
      </c>
      <c r="E151" t="inlineStr">
        <is>
          <t>applied_rate_modelling</t>
        </is>
      </c>
      <c r="F151" t="inlineStr">
        <is>
          <t>y9_mea_12_applied_rate_modelling_v2.html</t>
        </is>
      </c>
      <c r="G151" t="inlineStr">
        <is>
          <t>AC9M9M05</t>
        </is>
      </c>
      <c r="H151" t="inlineStr">
        <is>
          <t>4,5</t>
        </is>
      </c>
      <c r="I151" t="inlineStr">
        <is>
          <t>Strict</t>
        </is>
      </c>
      <c r="J151" t="inlineStr">
        <is>
          <t>Mathematical modelling can be used to represent and solve problems involving proportion, rates, ratios and scale, including in financial contexts</t>
        </is>
      </c>
      <c r="K151" t="inlineStr">
        <is>
          <t>Model applied rate contexts — density, birth rate, flow rate, heart rate; vehicle acceleration and deceleration; explore fire-spread rate techniques in First Nations Australians' land management under varying fuel types, wind, temperature and humidity.</t>
        </is>
      </c>
      <c r="L151" t="inlineStr">
        <is>
          <t>auto-marked + open-ended</t>
        </is>
      </c>
      <c r="M151" t="inlineStr">
        <is>
          <t>y9_mea_11</t>
        </is>
      </c>
      <c r="N151" t="inlineStr">
        <is>
          <t>Planned</t>
        </is>
      </c>
    </row>
    <row r="152" ht="15" customHeight="1" s="1">
      <c r="A152" t="inlineStr">
        <is>
          <t>y9_spa_01</t>
        </is>
      </c>
      <c r="B152" t="n">
        <v>9</v>
      </c>
      <c r="C152" t="inlineStr">
        <is>
          <t>Space</t>
        </is>
      </c>
      <c r="D152" t="n">
        <v>1</v>
      </c>
      <c r="E152" t="inlineStr">
        <is>
          <t>naming_sides_in_right_angled_triangles</t>
        </is>
      </c>
      <c r="F152" t="inlineStr">
        <is>
          <t>y9_spa_01_naming_sides_in_right_angled_triangles_v2.html</t>
        </is>
      </c>
      <c r="G152" t="inlineStr">
        <is>
          <t>AC9M9SP01</t>
        </is>
      </c>
      <c r="H152" t="inlineStr">
        <is>
          <t>1</t>
        </is>
      </c>
      <c r="I152" t="inlineStr">
        <is>
          <t>Strict</t>
        </is>
      </c>
      <c r="J152" t="inlineStr">
        <is>
          <t>Trigonometric ratios are an application of the property of similarity for right-angled triangles</t>
        </is>
      </c>
      <c r="K152" t="inlineStr">
        <is>
          <t>Identify and label the hypotenuse, the side opposite a given angle, and the side adjacent to a given angle in any right-angled triangle; recognise that 'opposite' and 'adjacent' depend on the chosen reference angle; the hypotenuse is always opposite the right angle.</t>
        </is>
      </c>
      <c r="L152" t="inlineStr">
        <is>
          <t>auto-marked</t>
        </is>
      </c>
      <c r="N152" t="inlineStr">
        <is>
          <t>Published</t>
        </is>
      </c>
      <c r="O152" s="13" t="n">
        <v>46301</v>
      </c>
      <c r="P152" t="inlineStr">
        <is>
          <t>https://seager94.github.io/year-9/space/y9_spa_01_naming_sides_in_right_angled_triangles_v2.html</t>
        </is>
      </c>
      <c r="Q152" t="inlineStr">
        <is>
          <t>Watershed lesson: getting the labels right is the foundation for all of trigonometry. Misnaming sides is the #1 trig misconception.</t>
        </is>
      </c>
    </row>
    <row r="153" ht="15" customHeight="1" s="1">
      <c r="A153" t="inlineStr">
        <is>
          <t>y9_spa_02</t>
        </is>
      </c>
      <c r="B153" t="n">
        <v>9</v>
      </c>
      <c r="C153" t="inlineStr">
        <is>
          <t>Space</t>
        </is>
      </c>
      <c r="D153" t="n">
        <v>2</v>
      </c>
      <c r="E153" t="inlineStr">
        <is>
          <t>discovering_constant_trig_ratios</t>
        </is>
      </c>
      <c r="F153" t="inlineStr">
        <is>
          <t>y9_spa_02_discovering_constant_trig_ratios_v2.html</t>
        </is>
      </c>
      <c r="G153" t="inlineStr">
        <is>
          <t>AC9M9SP01</t>
        </is>
      </c>
      <c r="H153" t="inlineStr">
        <is>
          <t>2,3</t>
        </is>
      </c>
      <c r="I153" t="inlineStr">
        <is>
          <t>Strict</t>
        </is>
      </c>
      <c r="J153" t="inlineStr">
        <is>
          <t>Trigonometric ratios are an application of the property of similarity for right-angled triangles</t>
        </is>
      </c>
      <c r="K153" t="inlineStr">
        <is>
          <t>Investigate nested similar right-angled triangles with a fixed acute angle; measure side ratios systematically and observe that opposite/hypotenuse, adjacent/hypotenuse and opposite/adjacent stay constant for that angle; connect to the unit-hypotenuse triangle.</t>
        </is>
      </c>
      <c r="L153" t="inlineStr">
        <is>
          <t>auto-marked + open-ended</t>
        </is>
      </c>
      <c r="M153" t="inlineStr">
        <is>
          <t>y9_spa_01</t>
        </is>
      </c>
      <c r="N153" t="inlineStr">
        <is>
          <t>Planned</t>
        </is>
      </c>
      <c r="Q153" t="inlineStr">
        <is>
          <t>Investigation lesson — practice should include some measure-and-tabulate items. The 'constancy' insight earns the formal definitions in spa_03.</t>
        </is>
      </c>
    </row>
    <row r="154" ht="15" customHeight="1" s="1">
      <c r="A154" t="inlineStr">
        <is>
          <t>y9_spa_03</t>
        </is>
      </c>
      <c r="B154" t="n">
        <v>9</v>
      </c>
      <c r="C154" t="inlineStr">
        <is>
          <t>Space</t>
        </is>
      </c>
      <c r="D154" t="n">
        <v>3</v>
      </c>
      <c r="E154" t="inlineStr">
        <is>
          <t>defining_sin_cos_tan</t>
        </is>
      </c>
      <c r="F154" t="inlineStr">
        <is>
          <t>y9_spa_03_defining_sin_cos_tan_v2.html</t>
        </is>
      </c>
      <c r="G154" t="inlineStr">
        <is>
          <t>AC9M9SP01</t>
        </is>
      </c>
      <c r="H154" t="inlineStr">
        <is>
          <t>3,4</t>
        </is>
      </c>
      <c r="I154" t="inlineStr">
        <is>
          <t>Strict</t>
        </is>
      </c>
      <c r="J154" t="inlineStr">
        <is>
          <t>Trigonometric ratios are an application of the property of similarity for right-angled triangles</t>
        </is>
      </c>
      <c r="K154" t="inlineStr">
        <is>
          <t>Define sin θ = opposite/hypotenuse, cos θ = adjacent/hypotenuse, tan θ = opposite/adjacent; read sin, cos, tan values from a calculator for any acute angle; connect tan θ to the gradient of a line passing through the origin.</t>
        </is>
      </c>
      <c r="L154" t="inlineStr">
        <is>
          <t>auto-marked</t>
        </is>
      </c>
      <c r="M154" t="inlineStr">
        <is>
          <t>y9_spa_02</t>
        </is>
      </c>
      <c r="N154" t="inlineStr">
        <is>
          <t>Planned</t>
        </is>
      </c>
      <c r="Q154" t="inlineStr">
        <is>
          <t>Watershed lesson: formal trig definitions. Mnemonics (SOH-CAH-TOA) introduced here. Cross-strand prereq for y9_mea_06.</t>
        </is>
      </c>
    </row>
    <row r="155" ht="15" customHeight="1" s="1">
      <c r="A155" t="inlineStr">
        <is>
          <t>y9_spa_04</t>
        </is>
      </c>
      <c r="B155" t="n">
        <v>9</v>
      </c>
      <c r="C155" t="inlineStr">
        <is>
          <t>Space</t>
        </is>
      </c>
      <c r="D155" t="n">
        <v>4</v>
      </c>
      <c r="E155" t="inlineStr">
        <is>
          <t>enlargement_transformation</t>
        </is>
      </c>
      <c r="F155" t="inlineStr">
        <is>
          <t>y9_spa_04_enlargement_transformation_v2.html</t>
        </is>
      </c>
      <c r="G155" t="inlineStr">
        <is>
          <t>AC9M9SP02</t>
        </is>
      </c>
      <c r="H155" t="inlineStr">
        <is>
          <t>1,2</t>
        </is>
      </c>
      <c r="I155" t="inlineStr">
        <is>
          <t>Strict</t>
        </is>
      </c>
      <c r="J155" t="inlineStr">
        <is>
          <t>Trigonometric ratios are an application of the property of similarity for right-angled triangles</t>
        </is>
      </c>
      <c r="K155" t="inlineStr">
        <is>
          <t>Apply the enlargement transformation to shapes using a centre of enlargement and a scale factor; recognise that corresponding angles are equal and corresponding sides are in a fixed ratio; solve enlargement problems using similarity.</t>
        </is>
      </c>
      <c r="L155" t="inlineStr">
        <is>
          <t>auto-marked</t>
        </is>
      </c>
      <c r="N155" t="inlineStr">
        <is>
          <t>Published</t>
        </is>
      </c>
      <c r="O155" s="13" t="n">
        <v>46302</v>
      </c>
      <c r="P155" t="inlineStr">
        <is>
          <t>https://seager94.github.io/year-9/space/y9_spa_04_enlargement_transformation_v2.html</t>
        </is>
      </c>
      <c r="Q155" t="inlineStr">
        <is>
          <t>Builds on Y8 spa_01/03 similarity work.</t>
        </is>
      </c>
    </row>
    <row r="156" ht="15" customHeight="1" s="1">
      <c r="A156" t="inlineStr">
        <is>
          <t>y9_spa_05</t>
        </is>
      </c>
      <c r="B156" t="n">
        <v>9</v>
      </c>
      <c r="C156" t="inlineStr">
        <is>
          <t>Space</t>
        </is>
      </c>
      <c r="D156" t="n">
        <v>5</v>
      </c>
      <c r="E156" t="inlineStr">
        <is>
          <t>scale_factor_effect_on_area_and_volume</t>
        </is>
      </c>
      <c r="F156" t="inlineStr">
        <is>
          <t>y9_spa_05_scale_factor_effect_on_area_and_volume_v2.html</t>
        </is>
      </c>
      <c r="G156" t="inlineStr">
        <is>
          <t>AC9M9SP02</t>
        </is>
      </c>
      <c r="H156" t="inlineStr">
        <is>
          <t>3</t>
        </is>
      </c>
      <c r="I156" t="inlineStr">
        <is>
          <t>Strict</t>
        </is>
      </c>
      <c r="J156" t="inlineStr">
        <is>
          <t>Trigonometric ratios are an application of the property of similarity for right-angled triangles</t>
        </is>
      </c>
      <c r="K156" t="inlineStr">
        <is>
          <t>Investigate how enlargement by scale factor k affects area (× k²) and volume (× k³); compare side lengths, areas and volumes of similar squares and cubes for k = 2, 3, and fractional k; generalise the pattern to any similar 2D and 3D shape.</t>
        </is>
      </c>
      <c r="L156" t="inlineStr">
        <is>
          <t>auto-marked</t>
        </is>
      </c>
      <c r="M156" t="inlineStr">
        <is>
          <t>y9_spa_04</t>
        </is>
      </c>
      <c r="N156" t="inlineStr">
        <is>
          <t>Planned</t>
        </is>
      </c>
      <c r="Q156" t="inlineStr">
        <is>
          <t>Overlaps with y9_mea_07 — same content from the spatial-transformation angle. Both kept; complementary framings.</t>
        </is>
      </c>
    </row>
    <row r="157" ht="15" customHeight="1" s="1">
      <c r="A157" t="inlineStr">
        <is>
          <t>y9_spa_06</t>
        </is>
      </c>
      <c r="B157" t="n">
        <v>9</v>
      </c>
      <c r="C157" t="inlineStr">
        <is>
          <t>Space</t>
        </is>
      </c>
      <c r="D157" t="n">
        <v>6</v>
      </c>
      <c r="E157" t="inlineStr">
        <is>
          <t>algorithms_for_triangle_properties</t>
        </is>
      </c>
      <c r="F157" t="inlineStr">
        <is>
          <t>y9_spa_06_algorithms_for_triangle_properties_v2.html</t>
        </is>
      </c>
      <c r="G157" t="inlineStr">
        <is>
          <t>AC9M9SP03</t>
        </is>
      </c>
      <c r="H157" t="inlineStr">
        <is>
          <t>1</t>
        </is>
      </c>
      <c r="I157" t="inlineStr">
        <is>
          <t>Strict</t>
        </is>
      </c>
      <c r="J157" t="inlineStr">
        <is>
          <t>Trigonometric ratios are an application of the property of similarity for right-angled triangles</t>
        </is>
      </c>
      <c r="K157" t="inlineStr">
        <is>
          <t>Design an algorithm (flow chart or pseudocode) that applies the triangle inequality to determine whether three given lengths can form a triangle; design an alternative algorithm to generate Pythagorean triples systematically.</t>
        </is>
      </c>
      <c r="L157" t="inlineStr">
        <is>
          <t>strategy-MCQ</t>
        </is>
      </c>
      <c r="N157" t="inlineStr">
        <is>
          <t>Published</t>
        </is>
      </c>
      <c r="O157" s="13" t="n">
        <v>46303</v>
      </c>
      <c r="P157" t="inlineStr">
        <is>
          <t>https://seager94.github.io/year-9/space/y9_spa_06_algorithms_for_triangle_properties_v2.html</t>
        </is>
      </c>
      <c r="Q157" t="inlineStr">
        <is>
          <t>Strategy-MCQ matches the decision-tree algorithm-design content.</t>
        </is>
      </c>
    </row>
    <row r="158" ht="15" customHeight="1" s="1">
      <c r="A158" t="inlineStr">
        <is>
          <t>y9_spa_07</t>
        </is>
      </c>
      <c r="B158" t="n">
        <v>9</v>
      </c>
      <c r="C158" t="inlineStr">
        <is>
          <t>Space</t>
        </is>
      </c>
      <c r="D158" t="n">
        <v>7</v>
      </c>
      <c r="E158" t="inlineStr">
        <is>
          <t>algorithms_for_geometric_constructions</t>
        </is>
      </c>
      <c r="F158" t="inlineStr">
        <is>
          <t>y9_spa_07_algorithms_for_geometric_constructions_v2.html</t>
        </is>
      </c>
      <c r="G158" t="inlineStr">
        <is>
          <t>AC9M9SP03</t>
        </is>
      </c>
      <c r="H158" t="inlineStr">
        <is>
          <t>2,3</t>
        </is>
      </c>
      <c r="I158" t="inlineStr">
        <is>
          <t>Strict</t>
        </is>
      </c>
      <c r="J158" t="inlineStr">
        <is>
          <t>Trigonometric ratios are an application of the property of similarity for right-angled triangles</t>
        </is>
      </c>
      <c r="K158" t="inlineStr">
        <is>
          <t>Design an algorithm using pseudocode or a flow chart to construct or bisect an angle with compass and straightedge; describe each step precisely; test for correctness on multiple cases; extend to algorithms for animated geometric constructions or visual proofs.</t>
        </is>
      </c>
      <c r="L158" t="inlineStr">
        <is>
          <t>strategy-MCQ</t>
        </is>
      </c>
      <c r="M158" t="inlineStr">
        <is>
          <t>y9_spa_06</t>
        </is>
      </c>
      <c r="N158" t="inlineStr">
        <is>
          <t>Planned</t>
        </is>
      </c>
    </row>
    <row r="159" ht="15" customHeight="1" s="1">
      <c r="A159" t="inlineStr">
        <is>
          <t>y9_sta_01</t>
        </is>
      </c>
      <c r="B159" t="n">
        <v>9</v>
      </c>
      <c r="C159" t="inlineStr">
        <is>
          <t>Statistics</t>
        </is>
      </c>
      <c r="D159" t="n">
        <v>1</v>
      </c>
      <c r="E159" t="inlineStr">
        <is>
          <t>analysing_statistical_reports</t>
        </is>
      </c>
      <c r="F159" t="inlineStr">
        <is>
          <t>y9_sta_01_analysing_statistical_reports_v2.html</t>
        </is>
      </c>
      <c r="G159" t="inlineStr">
        <is>
          <t>AC9M9ST01</t>
        </is>
      </c>
      <c r="H159" t="inlineStr">
        <is>
          <t>1,2,3,4</t>
        </is>
      </c>
      <c r="I159" t="inlineStr">
        <is>
          <t>Strict</t>
        </is>
      </c>
      <c r="J159" t="inlineStr">
        <is>
          <t>Statistical reports provide data and analysis to support conclusions and acknowledge the strength of the evidence</t>
        </is>
      </c>
      <c r="K159" t="inlineStr">
        <is>
          <t>Analyse statistical reports from media and government sources — link claims to the displays and statistics that support them; investigate how data was obtained, sample size and representativeness; environmental and international examples including Australia–Asia trade statistics and public-opinion surveys.</t>
        </is>
      </c>
      <c r="L159" t="inlineStr">
        <is>
          <t>strategy-MCQ</t>
        </is>
      </c>
      <c r="N159" t="inlineStr">
        <is>
          <t>Published</t>
        </is>
      </c>
      <c r="O159" s="13" t="n">
        <v>46304</v>
      </c>
      <c r="P159" t="inlineStr">
        <is>
          <t>https://seager94.github.io/year-9/statistics/y9_sta_01_analysing_statistical_reports_v2.html</t>
        </is>
      </c>
      <c r="Q159" t="inlineStr">
        <is>
          <t>Strategy-MCQ suits 'which claim is supported?' question type. Two SA CUs sit under this descriptor — emphasis here is on the reports/evidence-strength angle.</t>
        </is>
      </c>
    </row>
    <row r="160" ht="15" customHeight="1" s="1">
      <c r="A160" t="inlineStr">
        <is>
          <t>y9_sta_02</t>
        </is>
      </c>
      <c r="B160" t="n">
        <v>9</v>
      </c>
      <c r="C160" t="inlineStr">
        <is>
          <t>Statistics</t>
        </is>
      </c>
      <c r="D160" t="n">
        <v>2</v>
      </c>
      <c r="E160" t="inlineStr">
        <is>
          <t>sampling_methods_and_misleading_representations</t>
        </is>
      </c>
      <c r="F160" t="inlineStr">
        <is>
          <t>y9_sta_02_sampling_methods_and_misleading_representations_v2.html</t>
        </is>
      </c>
      <c r="G160" t="inlineStr">
        <is>
          <t>AC9M9ST02</t>
        </is>
      </c>
      <c r="H160" t="inlineStr">
        <is>
          <t>1,2,3</t>
        </is>
      </c>
      <c r="I160" t="inlineStr">
        <is>
          <t>Strict</t>
        </is>
      </c>
      <c r="J160" t="inlineStr">
        <is>
          <t>Sampling methods can affect and bias the results of data collection</t>
        </is>
      </c>
      <c r="K160" t="inlineStr">
        <is>
          <t>Investigate how different sampling methods and choices of representation can support a particular viewpoint or mislead the reader; analyse infographics for visual bias; consider the impact of decreased landline usage on survey data; explore potential cultural bias in reports about First Nations Australians.</t>
        </is>
      </c>
      <c r="L160" t="inlineStr">
        <is>
          <t>strategy-MCQ</t>
        </is>
      </c>
      <c r="M160" t="inlineStr">
        <is>
          <t>y9_sta_01</t>
        </is>
      </c>
      <c r="N160" t="inlineStr">
        <is>
          <t>Planned</t>
        </is>
      </c>
      <c r="Q160" t="inlineStr">
        <is>
          <t>Builds on Y8 sta_02 bias work; Y9 adds the visualisation/representation angle.</t>
        </is>
      </c>
    </row>
    <row r="161" ht="15" customHeight="1" s="1">
      <c r="A161" t="inlineStr">
        <is>
          <t>y9_sta_03</t>
        </is>
      </c>
      <c r="B161" t="n">
        <v>9</v>
      </c>
      <c r="C161" t="inlineStr">
        <is>
          <t>Statistics</t>
        </is>
      </c>
      <c r="D161" t="n">
        <v>3</v>
      </c>
      <c r="E161" t="inlineStr">
        <is>
          <t>comparing_distributions_visually</t>
        </is>
      </c>
      <c r="F161" t="inlineStr">
        <is>
          <t>y9_sta_03_comparing_distributions_visually_v2.html</t>
        </is>
      </c>
      <c r="G161" t="inlineStr">
        <is>
          <t>AC9M9ST03</t>
        </is>
      </c>
      <c r="H161" t="inlineStr">
        <is>
          <t>1,2</t>
        </is>
      </c>
      <c r="I161" t="inlineStr">
        <is>
          <t>Strict</t>
        </is>
      </c>
      <c r="J161" t="inlineStr">
        <is>
          <t>Different representations of data distributions can be used to compare features such as centre, shape and spread</t>
        </is>
      </c>
      <c r="K161" t="inlineStr">
        <is>
          <t>Compare two data sets using parallel dot plots and back-to-back stem-and-leaf plots; describe similarities and differences in centre, spread and shape using terms like positive skew, negative skew, symmetric, bi-modal.</t>
        </is>
      </c>
      <c r="L161" t="inlineStr">
        <is>
          <t>auto-marked</t>
        </is>
      </c>
      <c r="N161" t="inlineStr">
        <is>
          <t>Published</t>
        </is>
      </c>
      <c r="O161" s="13" t="n">
        <v>46305</v>
      </c>
      <c r="P161" t="inlineStr">
        <is>
          <t>https://seager94.github.io/year-9/statistics/y9_sta_03_comparing_distributions_visually_v2.html</t>
        </is>
      </c>
      <c r="Q161" t="inlineStr">
        <is>
          <t>Builds on Y8 sta_04/05 sampling and distribution work.</t>
        </is>
      </c>
    </row>
    <row r="162" ht="15" customHeight="1" s="1">
      <c r="A162" t="inlineStr">
        <is>
          <t>y9_sta_04</t>
        </is>
      </c>
      <c r="B162" t="n">
        <v>9</v>
      </c>
      <c r="C162" t="inlineStr">
        <is>
          <t>Statistics</t>
        </is>
      </c>
      <c r="D162" t="n">
        <v>4</v>
      </c>
      <c r="E162" t="inlineStr">
        <is>
          <t>grouped_histograms_and_distribution_shape</t>
        </is>
      </c>
      <c r="F162" t="inlineStr">
        <is>
          <t>y9_sta_04_grouped_histograms_and_distribution_shape_v2.html</t>
        </is>
      </c>
      <c r="G162" t="inlineStr">
        <is>
          <t>AC9M9ST03</t>
        </is>
      </c>
      <c r="H162" t="inlineStr">
        <is>
          <t>3,4</t>
        </is>
      </c>
      <c r="I162" t="inlineStr">
        <is>
          <t>Strict</t>
        </is>
      </c>
      <c r="J162" t="inlineStr">
        <is>
          <t>Different representations of data distributions can be used to compare features such as centre, shape and spread</t>
        </is>
      </c>
      <c r="K162" t="inlineStr">
        <is>
          <t>Construct and interpret grouped histograms — age-grouped health data such as lung cancer, leukaemia, stroke; describe distribution shape and explain its connection to the relative positions of mean and median; explore Closing the Gap report data.</t>
        </is>
      </c>
      <c r="L162" t="inlineStr">
        <is>
          <t>auto-marked</t>
        </is>
      </c>
      <c r="M162" t="inlineStr">
        <is>
          <t>y9_sta_03</t>
        </is>
      </c>
      <c r="N162" t="inlineStr">
        <is>
          <t>Planned</t>
        </is>
      </c>
    </row>
    <row r="163" ht="15" customHeight="1" s="1">
      <c r="A163" t="inlineStr">
        <is>
          <t>y9_sta_05</t>
        </is>
      </c>
      <c r="B163" t="n">
        <v>9</v>
      </c>
      <c r="C163" t="inlineStr">
        <is>
          <t>Statistics</t>
        </is>
      </c>
      <c r="D163" t="n">
        <v>5</v>
      </c>
      <c r="E163" t="inlineStr">
        <is>
          <t>choosing_the_right_data_display</t>
        </is>
      </c>
      <c r="F163" t="inlineStr">
        <is>
          <t>y9_sta_05_choosing_the_right_data_display_v2.html</t>
        </is>
      </c>
      <c r="G163" t="inlineStr">
        <is>
          <t>AC9M9ST04</t>
        </is>
      </c>
      <c r="H163" t="inlineStr">
        <is>
          <t>1,2,3,4</t>
        </is>
      </c>
      <c r="I163" t="inlineStr">
        <is>
          <t>Strict</t>
        </is>
      </c>
      <c r="J163" t="inlineStr">
        <is>
          <t>Different representations of data distributions can be used to compare features such as centre, shape and spread</t>
        </is>
      </c>
      <c r="K163" t="inlineStr">
        <is>
          <t>Match the data display to the data type — categorical (bar chart, stacked bar chart) vs numerical (histogram, dot plot, stem-and-leaf); compare displays of the same data using mean, median and range; critique infographic choices for the statistical questions they purport to answer.</t>
        </is>
      </c>
      <c r="L163" t="inlineStr">
        <is>
          <t>matching</t>
        </is>
      </c>
      <c r="M163" t="inlineStr">
        <is>
          <t>y9_sta_04</t>
        </is>
      </c>
      <c r="N163" t="inlineStr">
        <is>
          <t>Planned</t>
        </is>
      </c>
      <c r="Q163" t="inlineStr">
        <is>
          <t>Matching practice — display ↔ data type ↔ purpose pairings.</t>
        </is>
      </c>
    </row>
    <row r="164" ht="15" customHeight="1" s="1">
      <c r="A164" t="inlineStr">
        <is>
          <t>y9_sta_06</t>
        </is>
      </c>
      <c r="B164" t="n">
        <v>9</v>
      </c>
      <c r="C164" t="inlineStr">
        <is>
          <t>Statistics</t>
        </is>
      </c>
      <c r="D164" t="n">
        <v>6</v>
      </c>
      <c r="E164" t="inlineStr">
        <is>
          <t>full_statistical_investigation_with_secondary_data</t>
        </is>
      </c>
      <c r="F164" t="inlineStr">
        <is>
          <t>y9_sta_06_full_statistical_investigation_with_secondary_data_v2.html</t>
        </is>
      </c>
      <c r="G164" t="inlineStr">
        <is>
          <t>AC9M9ST05</t>
        </is>
      </c>
      <c r="H164" t="inlineStr">
        <is>
          <t>1,2,3,4</t>
        </is>
      </c>
      <c r="I164" t="inlineStr">
        <is>
          <t>Strict</t>
        </is>
      </c>
      <c r="J164" t="inlineStr">
        <is>
          <t>Statistical reports provide data and analysis to support conclusions and acknowledge the strength of the evidence</t>
        </is>
      </c>
      <c r="K164" t="inlineStr">
        <is>
          <t>Plan and conduct a full statistical investigation using primary or secondary data sources such as the ABS — pose a question, collect or extract data, choose displays, analyse, report findings with explicit acknowledgement of uncertainty; investigation contexts include consumer spending habits, tropical-fruit plantation siting, and reconciliation data.</t>
        </is>
      </c>
      <c r="L164" t="inlineStr">
        <is>
          <t>auto-marked + open-ended</t>
        </is>
      </c>
      <c r="M164" t="inlineStr">
        <is>
          <t>y9_sta_05</t>
        </is>
      </c>
      <c r="N164" t="inlineStr">
        <is>
          <t>Planned</t>
        </is>
      </c>
      <c r="Q164" t="inlineStr">
        <is>
          <t>Capstone — extends Y7 sta_05 and Y8 sta_06 with explicit secondary-source work.</t>
        </is>
      </c>
    </row>
    <row r="165" ht="15" customHeight="1" s="1">
      <c r="A165" t="inlineStr">
        <is>
          <t>y9_pro_01</t>
        </is>
      </c>
      <c r="B165" t="n">
        <v>9</v>
      </c>
      <c r="C165" t="inlineStr">
        <is>
          <t>Probability</t>
        </is>
      </c>
      <c r="D165" t="n">
        <v>1</v>
      </c>
      <c r="E165" t="inlineStr">
        <is>
          <t>two_step_compound_events</t>
        </is>
      </c>
      <c r="F165" t="inlineStr">
        <is>
          <t>y9_pro_01_two_step_compound_events_v2.html</t>
        </is>
      </c>
      <c r="G165" t="inlineStr">
        <is>
          <t>AC9M9P01</t>
        </is>
      </c>
      <c r="H165" t="inlineStr">
        <is>
          <t>1,2,4</t>
        </is>
      </c>
      <c r="I165" t="inlineStr">
        <is>
          <t>Strict</t>
        </is>
      </c>
      <c r="J165" t="inlineStr">
        <is>
          <t>The likelihood of an event occurring can be affected by another event that has already taken place</t>
        </is>
      </c>
      <c r="K165" t="inlineStr">
        <is>
          <t>Use lists and arrays to record outcomes of two-step compound experiments — the Heads and Tails game, drawing two team leaders from a class; calculate probabilities by counting favourable outcomes over total outcomes.</t>
        </is>
      </c>
      <c r="L165" t="inlineStr">
        <is>
          <t>auto-marked</t>
        </is>
      </c>
      <c r="N165" t="inlineStr">
        <is>
          <t>Published</t>
        </is>
      </c>
      <c r="O165" s="13" t="n">
        <v>46306</v>
      </c>
      <c r="P165" t="inlineStr">
        <is>
          <t>https://seager94.github.io/year-9/probability/y9_pro_01_two_step_compound_events_v2.html</t>
        </is>
      </c>
      <c r="Q165" t="inlineStr">
        <is>
          <t>Extends Y8 pro_02/03 two-event work; Y9 emphasis is on the systematic listing of compound outcomes.</t>
        </is>
      </c>
    </row>
    <row r="166" ht="15" customHeight="1" s="1">
      <c r="A166" t="inlineStr">
        <is>
          <t>y9_pro_02</t>
        </is>
      </c>
      <c r="B166" t="n">
        <v>9</v>
      </c>
      <c r="C166" t="inlineStr">
        <is>
          <t>Probability</t>
        </is>
      </c>
      <c r="D166" t="n">
        <v>2</v>
      </c>
      <c r="E166" t="inlineStr">
        <is>
          <t>tree_diagrams_with_and_without_replacement</t>
        </is>
      </c>
      <c r="F166" t="inlineStr">
        <is>
          <t>y9_pro_02_tree_diagrams_with_and_without_replacement_v2.html</t>
        </is>
      </c>
      <c r="G166" t="inlineStr">
        <is>
          <t>AC9M9P01</t>
        </is>
      </c>
      <c r="H166" t="inlineStr">
        <is>
          <t>3,4</t>
        </is>
      </c>
      <c r="I166" t="inlineStr">
        <is>
          <t>Strict</t>
        </is>
      </c>
      <c r="J166" t="inlineStr">
        <is>
          <t>The likelihood of an event occurring can be affected by another event that has already taken place</t>
        </is>
      </c>
      <c r="K166" t="inlineStr">
        <is>
          <t>Use tree diagrams to represent two- and three-step compound events; contrast experiments with and without replacement (e.g. drawing 3 cards from a deck); multiply probabilities along each path and sum across paths for the target event.</t>
        </is>
      </c>
      <c r="L166" t="inlineStr">
        <is>
          <t>auto-marked</t>
        </is>
      </c>
      <c r="M166" t="inlineStr">
        <is>
          <t>y9_pro_01</t>
        </is>
      </c>
      <c r="N166" t="inlineStr">
        <is>
          <t>Planned</t>
        </is>
      </c>
      <c r="Q166" t="inlineStr">
        <is>
          <t>With/without replacement is the watershed concept — introduces conditional probability informally.</t>
        </is>
      </c>
    </row>
    <row r="167" ht="15" customHeight="1" s="1">
      <c r="A167" t="inlineStr">
        <is>
          <t>y9_pro_03</t>
        </is>
      </c>
      <c r="B167" t="n">
        <v>9</v>
      </c>
      <c r="C167" t="inlineStr">
        <is>
          <t>Probability</t>
        </is>
      </c>
      <c r="D167" t="n">
        <v>3</v>
      </c>
      <c r="E167" t="inlineStr">
        <is>
          <t>relative_frequency_for_and_or_events</t>
        </is>
      </c>
      <c r="F167" t="inlineStr">
        <is>
          <t>y9_pro_03_relative_frequency_for_and_or_events_v2.html</t>
        </is>
      </c>
      <c r="G167" t="inlineStr">
        <is>
          <t>AC9M9P02</t>
        </is>
      </c>
      <c r="H167" t="inlineStr">
        <is>
          <t>1,2</t>
        </is>
      </c>
      <c r="I167" t="inlineStr">
        <is>
          <t>Strict</t>
        </is>
      </c>
      <c r="J167" t="inlineStr">
        <is>
          <t>Theoretical probabilities are based on the characteristics of an experiment and can be used to predict relative frequencies of experimental data</t>
        </is>
      </c>
      <c r="K167" t="inlineStr">
        <is>
          <t>Use relative frequencies from historical or experimental data to estimate probabilities of events; use Venn diagrams and two-way tables to handle events involving 'and', inclusive 'or' (A or B or both), and exclusive 'or' (A or B but not both).</t>
        </is>
      </c>
      <c r="L167" t="inlineStr">
        <is>
          <t>auto-marked</t>
        </is>
      </c>
      <c r="M167" t="inlineStr">
        <is>
          <t>y9_pro_02</t>
        </is>
      </c>
      <c r="N167" t="inlineStr">
        <is>
          <t>Planned</t>
        </is>
      </c>
    </row>
    <row r="168" ht="15" customHeight="1" s="1">
      <c r="A168" t="inlineStr">
        <is>
          <t>y9_pro_04</t>
        </is>
      </c>
      <c r="B168" t="n">
        <v>9</v>
      </c>
      <c r="C168" t="inlineStr">
        <is>
          <t>Probability</t>
        </is>
      </c>
      <c r="D168" t="n">
        <v>4</v>
      </c>
      <c r="E168" t="inlineStr">
        <is>
          <t>simulating_compound_events_with_replacement_comparison</t>
        </is>
      </c>
      <c r="F168" t="inlineStr">
        <is>
          <t>y9_pro_04_simulating_compound_events_with_replacement_comparison_v2.html</t>
        </is>
      </c>
      <c r="G168" t="inlineStr">
        <is>
          <t>AC9M9P03</t>
        </is>
      </c>
      <c r="H168" t="inlineStr">
        <is>
          <t>1,2,3,4</t>
        </is>
      </c>
      <c r="I168" t="inlineStr">
        <is>
          <t>Strict</t>
        </is>
      </c>
      <c r="J168" t="inlineStr">
        <is>
          <t>The probability of compound events is related to the probability of the associated simple events and can be calculated in the context of the experiment</t>
        </is>
      </c>
      <c r="K168" t="inlineStr">
        <is>
          <t>Use digital random-number tools to simulate compound events; compare experimental probability with theoretical predictions; contrast results from experiments that differ only by being with or without replacement; explore the First Nations Gorri game from across Australia as a repeated-trial context.</t>
        </is>
      </c>
      <c r="L168" t="inlineStr">
        <is>
          <t>auto-marked + open-ended</t>
        </is>
      </c>
      <c r="M168" t="inlineStr">
        <is>
          <t>y9_pro_02,y9_pro_03</t>
        </is>
      </c>
      <c r="N168" t="inlineStr">
        <is>
          <t>Planned</t>
        </is>
      </c>
      <c r="Q168" t="inlineStr">
        <is>
          <t>Builds directly on Y8 pro_04 simulation work; Y9 adds the with/without-replacement contrast.</t>
        </is>
      </c>
    </row>
    <row r="169" ht="15" customHeight="1" s="1">
      <c r="A169" t="inlineStr">
        <is>
          <t>y10_num_01</t>
        </is>
      </c>
      <c r="B169" t="n">
        <v>10</v>
      </c>
      <c r="C169" t="inlineStr">
        <is>
          <t>Number</t>
        </is>
      </c>
      <c r="D169" t="n">
        <v>1</v>
      </c>
      <c r="E169" t="inlineStr">
        <is>
          <t>truncation_and_rounding_effects</t>
        </is>
      </c>
      <c r="F169" t="inlineStr">
        <is>
          <t>y10_num_01_truncation_and_rounding_effects_v2.html</t>
        </is>
      </c>
      <c r="G169" t="inlineStr">
        <is>
          <t>AC9M10N01</t>
        </is>
      </c>
      <c r="H169" t="inlineStr">
        <is>
          <t>1</t>
        </is>
      </c>
      <c r="I169" t="inlineStr">
        <is>
          <t>Strict</t>
        </is>
      </c>
      <c r="J169" t="inlineStr">
        <is>
          <t>Using approximations rather than exact values affects the accuracy of results in both single and multiple calculations</t>
        </is>
      </c>
      <c r="K169" t="inlineStr">
        <is>
          <t>Compare the effect of truncation versus rounding on a single calculation; recognise that exact form (surds, π, fractions) preserves accuracy where decimal approximations introduce error; identify the interval between consecutive integers containing a given irrational.</t>
        </is>
      </c>
      <c r="L169" t="inlineStr">
        <is>
          <t>auto-marked</t>
        </is>
      </c>
      <c r="N169" t="inlineStr">
        <is>
          <t>Planned</t>
        </is>
      </c>
      <c r="Q169" t="inlineStr">
        <is>
          <t>Foundation lesson for N01 — sets up the exact-versus-approximate distinction that drives the compound-shapes and finance work in y10_num_02 and y10_alg_16 (compound interest).</t>
        </is>
      </c>
    </row>
    <row r="170" ht="15" customHeight="1" s="1">
      <c r="A170" t="inlineStr">
        <is>
          <t>y10_num_02</t>
        </is>
      </c>
      <c r="B170" t="n">
        <v>10</v>
      </c>
      <c r="C170" t="inlineStr">
        <is>
          <t>Number</t>
        </is>
      </c>
      <c r="D170" t="n">
        <v>2</v>
      </c>
      <c r="E170" t="inlineStr">
        <is>
          <t>compounding_approximation_in_compound_calculations</t>
        </is>
      </c>
      <c r="F170" t="inlineStr">
        <is>
          <t>y10_num_02_compounding_approximation_in_compound_calculations_v2.html</t>
        </is>
      </c>
      <c r="G170" t="inlineStr">
        <is>
          <t>AC9M10N01, AC9M10M04</t>
        </is>
      </c>
      <c r="H170" t="inlineStr">
        <is>
          <t>2 (N01); 3 (M04)</t>
        </is>
      </c>
      <c r="I170" t="inlineStr">
        <is>
          <t>Strict + cross-tag</t>
        </is>
      </c>
      <c r="J170" t="inlineStr">
        <is>
          <t>Using approximations rather than exact values affects the accuracy of results in both single and multiple calculations</t>
        </is>
      </c>
      <c r="K170" t="inlineStr">
        <is>
          <t>Investigate how rounding errors compound across multiple calculations — area of compound shapes involving circles (π approximations), surface area and volume of compound objects, repeated simple-interest calculations where each cycle's rounding shifts the final balance; quantify the discrepancy from the exact-form answer.</t>
        </is>
      </c>
      <c r="L170" t="inlineStr">
        <is>
          <t>auto-marked + open-ended</t>
        </is>
      </c>
      <c r="M170" t="inlineStr">
        <is>
          <t>y10_num_01</t>
        </is>
      </c>
      <c r="N170" t="inlineStr">
        <is>
          <t>Planned</t>
        </is>
      </c>
      <c r="Q170" t="inlineStr">
        <is>
          <t>Dual-tagged: N01 e2 (Number framing — effect of approximations) and M04 e3 (Measurement framing — compounding errors in financial calculations). Mirrors the y9_mea_04 (M02+A01) and y8_num_11 (N05+M05) dual-tag pattern. Watershed habit for Y10 — exact form discipline carried over from y9_num_02.</t>
        </is>
      </c>
    </row>
    <row r="171" ht="15" customHeight="1" s="1">
      <c r="A171" t="inlineStr">
        <is>
          <t>y10_alg_01</t>
        </is>
      </c>
      <c r="B171" t="n">
        <v>10</v>
      </c>
      <c r="C171" t="inlineStr">
        <is>
          <t>Algebra</t>
        </is>
      </c>
      <c r="D171" t="n">
        <v>1</v>
      </c>
      <c r="E171" t="inlineStr">
        <is>
          <t>expanding_special_products_and_non_monic</t>
        </is>
      </c>
      <c r="F171" t="inlineStr">
        <is>
          <t>y10_alg_01_expanding_special_products_and_non_monic_v2.html</t>
        </is>
      </c>
      <c r="G171" t="inlineStr">
        <is>
          <t>AC9M10A01</t>
        </is>
      </c>
      <c r="H171" t="inlineStr">
        <is>
          <t>1</t>
        </is>
      </c>
      <c r="I171" t="inlineStr">
        <is>
          <t>Strict</t>
        </is>
      </c>
      <c r="J171" t="inlineStr">
        <is>
          <t>Relationships between variables can be described and modelled by linear, quadratic and exponential functions applied in many contexts including financial ones</t>
        </is>
      </c>
      <c r="K171" t="inlineStr">
        <is>
          <t>Expand binomial products of the form (ax + b)(cx + d) using the area model and the distributive property; consolidate the perfect-square patterns (a + b)² = a² + 2ab + b² and (a − b)² = a² − 2ab + b², and the difference-of-squares (a + b)(a − b) = a² − b²; identify when each special pattern applies.</t>
        </is>
      </c>
      <c r="L171" t="inlineStr">
        <is>
          <t>auto-marked</t>
        </is>
      </c>
      <c r="N171" t="inlineStr">
        <is>
          <t>Published</t>
        </is>
      </c>
      <c r="O171" t="inlineStr">
        <is>
          <t>2026-06-07</t>
        </is>
      </c>
      <c r="P171" t="inlineStr">
        <is>
          <t>https://seager94.github.io/year-10/algebra/y10_alg_01_expanding_special_products_and_non_monic_v2.html</t>
        </is>
      </c>
      <c r="Q171" t="inlineStr">
        <is>
          <t>Builds directly on Y9 alg_03 (monic binomial products) — Y10 extends to non-monic and formalises the three special products. Area model justification carries through.</t>
        </is>
      </c>
    </row>
    <row r="172" ht="15" customHeight="1" s="1">
      <c r="A172" t="inlineStr">
        <is>
          <t>y10_alg_02</t>
        </is>
      </c>
      <c r="B172" t="n">
        <v>10</v>
      </c>
      <c r="C172" t="inlineStr">
        <is>
          <t>Algebra</t>
        </is>
      </c>
      <c r="D172" t="n">
        <v>2</v>
      </c>
      <c r="E172" t="inlineStr">
        <is>
          <t>factorising_quadratics_special_and_non_monic</t>
        </is>
      </c>
      <c r="F172" t="inlineStr">
        <is>
          <t>y10_alg_02_factorising_quadratics_special_and_non_monic_v2.html</t>
        </is>
      </c>
      <c r="G172" t="inlineStr">
        <is>
          <t>AC9M10A01</t>
        </is>
      </c>
      <c r="H172" t="inlineStr">
        <is>
          <t>1</t>
        </is>
      </c>
      <c r="I172" t="inlineStr">
        <is>
          <t>Strict</t>
        </is>
      </c>
      <c r="J172" t="inlineStr">
        <is>
          <t>Relationships between variables can be described and modelled by linear, quadratic and exponential functions applied in many contexts including financial ones</t>
        </is>
      </c>
      <c r="K172" t="inlineStr">
        <is>
          <t>Factorise by extracting the highest common factor first; factorise difference-of-squares a² − b² = (a + b)(a − b); factorise perfect-square trinomials; factorise non-monic quadratics ax² + bx + c using the AC (split-the-middle) method; verify every factorisation by re-expanding.</t>
        </is>
      </c>
      <c r="L172" t="inlineStr">
        <is>
          <t>auto-marked</t>
        </is>
      </c>
      <c r="M172" t="inlineStr">
        <is>
          <t>y10_alg_01</t>
        </is>
      </c>
      <c r="N172" t="inlineStr">
        <is>
          <t>Published</t>
        </is>
      </c>
      <c r="O172" t="inlineStr">
        <is>
          <t>2026-06-07</t>
        </is>
      </c>
      <c r="P172" t="inlineStr">
        <is>
          <t>https://seager94.github.io/year-10/algebra/y10_alg_02_factorising_quadratics_special_and_non_monic_v2.html</t>
        </is>
      </c>
      <c r="Q172" t="inlineStr">
        <is>
          <t>Watershed lesson: AC method is the threshold technique for non-monic factorising. HCF-first habit prevents over-complicated splits.</t>
        </is>
      </c>
    </row>
    <row r="173" ht="15" customHeight="1" s="1">
      <c r="A173" t="inlineStr">
        <is>
          <t>y10_alg_03</t>
        </is>
      </c>
      <c r="B173" t="n">
        <v>10</v>
      </c>
      <c r="C173" t="inlineStr">
        <is>
          <t>Algebra</t>
        </is>
      </c>
      <c r="D173" t="n">
        <v>3</v>
      </c>
      <c r="E173" t="inlineStr">
        <is>
          <t>completing_the_square</t>
        </is>
      </c>
      <c r="F173" t="inlineStr">
        <is>
          <t>y10_alg_03_completing_the_square_v2.html</t>
        </is>
      </c>
      <c r="G173" t="inlineStr">
        <is>
          <t>AC9M10A01</t>
        </is>
      </c>
      <c r="H173" t="inlineStr">
        <is>
          <t>1</t>
        </is>
      </c>
      <c r="I173" t="inlineStr">
        <is>
          <t>Strict</t>
        </is>
      </c>
      <c r="J173" t="inlineStr">
        <is>
          <t>Relationships between variables can be described and modelled by linear, quadratic and exponential functions applied in many contexts including financial ones</t>
        </is>
      </c>
      <c r="K173" t="inlineStr">
        <is>
          <t>Rewrite x² + bx + c in completed-square form (x + b/2)² + (c − b²/4); extend to ax² + bx + c by first factorising out a; connect to the perfect-square expansion pattern; interpret the completed-square form geometrically as the turning point of the related parabola y = a(x − h)² + k.</t>
        </is>
      </c>
      <c r="L173" t="inlineStr">
        <is>
          <t>auto-marked</t>
        </is>
      </c>
      <c r="M173" t="inlineStr">
        <is>
          <t>y10_alg_01,y10_alg_02</t>
        </is>
      </c>
      <c r="N173" t="inlineStr">
        <is>
          <t>Published</t>
        </is>
      </c>
      <c r="O173" t="inlineStr">
        <is>
          <t>2026-06-07</t>
        </is>
      </c>
      <c r="P173" t="inlineStr">
        <is>
          <t>https://seager94.github.io/year-10/algebra/y10_alg_03_completing_the_square_v2.html</t>
        </is>
      </c>
      <c r="Q173" t="inlineStr">
        <is>
          <t>Watershed lesson: completing the square is the central manipulation that unlocks the quadratic formula derivation and the turning-point form. Geometric interpretation links back to y9_alg_16 transformations of quadratics.</t>
        </is>
      </c>
    </row>
    <row r="174" ht="15" customHeight="1" s="1">
      <c r="A174" t="inlineStr">
        <is>
          <t>y10_alg_04</t>
        </is>
      </c>
      <c r="B174" t="n">
        <v>10</v>
      </c>
      <c r="C174" t="inlineStr">
        <is>
          <t>Algebra</t>
        </is>
      </c>
      <c r="D174" t="n">
        <v>4</v>
      </c>
      <c r="E174" t="inlineStr">
        <is>
          <t>solving_quadratics_and_quadratic_formula</t>
        </is>
      </c>
      <c r="F174" t="inlineStr">
        <is>
          <t>y10_alg_04_solving_quadratics_and_quadratic_formula_v2.html</t>
        </is>
      </c>
      <c r="G174" t="inlineStr">
        <is>
          <t>AC9M10A01</t>
        </is>
      </c>
      <c r="H174" t="inlineStr">
        <is>
          <t>1</t>
        </is>
      </c>
      <c r="I174" t="inlineStr">
        <is>
          <t>Implied</t>
        </is>
      </c>
      <c r="J174" t="inlineStr">
        <is>
          <t>Relationships between variables can be described and modelled by linear, quadratic and exponential functions applied in many contexts including financial ones</t>
        </is>
      </c>
      <c r="K174" t="inlineStr">
        <is>
          <t>Solve quadratic equations algebraically by factorising, by completing the square, and using the quadratic formula x = (−b ± √(b² − 4ac))/(2a); derive the formula from the completed-square form; recognise when the discriminant indicates no real solutions; choose an efficient method given the form of the equation.</t>
        </is>
      </c>
      <c r="L174" t="inlineStr">
        <is>
          <t>auto-marked</t>
        </is>
      </c>
      <c r="M174" t="inlineStr">
        <is>
          <t>y10_alg_02,y10_alg_03</t>
        </is>
      </c>
      <c r="N174" t="inlineStr">
        <is>
          <t>Published</t>
        </is>
      </c>
      <c r="O174" t="inlineStr">
        <is>
          <t>2026-06-07</t>
        </is>
      </c>
      <c r="P174" t="inlineStr">
        <is>
          <t>https://seager94.github.io/year-10/algebra/y10_alg_04_solving_quadratics_and_quadratic_formula_v2.html</t>
        </is>
      </c>
      <c r="Q174" t="inlineStr">
        <is>
          <t>Implied: AC9 descriptor says 'solve equations algebraically' but no elaboration explicitly names the quadratic formula. Standard SA Y10 / Y10A content. Watershed lesson — formula derivation gives meaning rather than mystery.</t>
        </is>
      </c>
    </row>
    <row r="175" ht="15" customHeight="1" s="1">
      <c r="A175" t="inlineStr">
        <is>
          <t>y10_alg_05</t>
        </is>
      </c>
      <c r="B175" t="n">
        <v>10</v>
      </c>
      <c r="C175" t="inlineStr">
        <is>
          <t>Algebra</t>
        </is>
      </c>
      <c r="D175" t="n">
        <v>5</v>
      </c>
      <c r="E175" t="inlineStr">
        <is>
          <t>simplifying_with_negative_exponents_and_variables</t>
        </is>
      </c>
      <c r="F175" t="inlineStr">
        <is>
          <t>y10_alg_05_simplifying_with_negative_exponents_and_variables_v2.html</t>
        </is>
      </c>
      <c r="G175" t="inlineStr">
        <is>
          <t>AC9M10A01</t>
        </is>
      </c>
      <c r="H175" t="inlineStr">
        <is>
          <t>2</t>
        </is>
      </c>
      <c r="I175" t="inlineStr">
        <is>
          <t>Strict</t>
        </is>
      </c>
      <c r="J175" t="inlineStr">
        <is>
          <t>Relationships between variables can be described and modelled by linear, quadratic and exponential functions applied in many contexts including financial ones</t>
        </is>
      </c>
      <c r="K175" t="inlineStr">
        <is>
          <t>Apply exponent laws to algebraic expressions involving both positive and negative integer exponents, e.g. (3x²y⁻¹)² ÷ (6x⁻¹y²); rewrite expressions without negative exponents using a⁻ⁿ = 1/aⁿ; solve simple equations of the form aⁿ = b algebraically using the exponent laws.</t>
        </is>
      </c>
      <c r="L175" t="inlineStr">
        <is>
          <t>auto-marked</t>
        </is>
      </c>
      <c r="N175" t="inlineStr">
        <is>
          <t>Published</t>
        </is>
      </c>
      <c r="O175" t="inlineStr">
        <is>
          <t>2026-06-07</t>
        </is>
      </c>
      <c r="P175" t="inlineStr">
        <is>
          <t>https://seager94.github.io/year-10/algebra/y10_alg_05_simplifying_with_negative_exponents_and_variables_v2.html</t>
        </is>
      </c>
      <c r="Q175" t="inlineStr">
        <is>
          <t>Builds on Y9 alg_01 (negative exponents on numerals) and alg_02 (exponent laws with variables) — Y10 extends to multi-variable expressions with negative exponents.</t>
        </is>
      </c>
    </row>
    <row r="176" ht="15" customHeight="1" s="1">
      <c r="A176" t="inlineStr">
        <is>
          <t>y10_alg_06</t>
        </is>
      </c>
      <c r="B176" t="n">
        <v>10</v>
      </c>
      <c r="C176" t="inlineStr">
        <is>
          <t>Algebra</t>
        </is>
      </c>
      <c r="D176" t="n">
        <v>6</v>
      </c>
      <c r="E176" t="inlineStr">
        <is>
          <t>solving_simultaneous_equations_graphically</t>
        </is>
      </c>
      <c r="F176" t="inlineStr">
        <is>
          <t>y10_alg_06_solving_simultaneous_equations_graphically_v2.html</t>
        </is>
      </c>
      <c r="G176" t="inlineStr">
        <is>
          <t>AC9M10A02</t>
        </is>
      </c>
      <c r="H176" t="inlineStr">
        <is>
          <t>1,2</t>
        </is>
      </c>
      <c r="I176" t="inlineStr">
        <is>
          <t>Strict</t>
        </is>
      </c>
      <c r="J176" t="inlineStr">
        <is>
          <t>Relationships between variables can be described and modelled by linear, quadratic and exponential functions applied in many contexts including financial ones</t>
        </is>
      </c>
      <c r="K176" t="inlineStr">
        <is>
          <t>Solve a pair of simultaneous linear equations by graphing both lines and identifying the intersection point; interpret the intersection in context (e.g. break-even point, point at which two quotes are equal); recognise the three cases — one solution, no solution (parallel lines), infinite solutions (coincident lines).</t>
        </is>
      </c>
      <c r="L176" t="inlineStr">
        <is>
          <t>auto-marked</t>
        </is>
      </c>
      <c r="N176" t="inlineStr">
        <is>
          <t>Published</t>
        </is>
      </c>
      <c r="O176" t="inlineStr">
        <is>
          <t>2026-06-07</t>
        </is>
      </c>
      <c r="P176" t="inlineStr">
        <is>
          <t>https://seager94.github.io/year-10/algebra/y10_alg_06_solving_simultaneous_equations_graphically_v2.html</t>
        </is>
      </c>
      <c r="Q176" t="inlineStr">
        <is>
          <t>Watershed lesson: graphical method is the conceptual anchor for the algebraic methods in y10_alg_07. Builds on Y9 alg_06 (gradient) and alg_15 (slope-intercept form).</t>
        </is>
      </c>
    </row>
    <row r="177" ht="15" customHeight="1" s="1">
      <c r="A177" t="inlineStr">
        <is>
          <t>y10_alg_07</t>
        </is>
      </c>
      <c r="B177" t="n">
        <v>10</v>
      </c>
      <c r="C177" t="inlineStr">
        <is>
          <t>Algebra</t>
        </is>
      </c>
      <c r="D177" t="n">
        <v>7</v>
      </c>
      <c r="E177" t="inlineStr">
        <is>
          <t>solving_simultaneous_equations_algebraically</t>
        </is>
      </c>
      <c r="F177" t="inlineStr">
        <is>
          <t>y10_alg_07_solving_simultaneous_equations_algebraically_v2.html</t>
        </is>
      </c>
      <c r="G177" t="inlineStr">
        <is>
          <t>AC9M10A02</t>
        </is>
      </c>
      <c r="H177" t="inlineStr">
        <is>
          <t>2</t>
        </is>
      </c>
      <c r="I177" t="inlineStr">
        <is>
          <t>Strict</t>
        </is>
      </c>
      <c r="J177" t="inlineStr">
        <is>
          <t>Relationships between variables can be described and modelled by linear, quadratic and exponential functions applied in many contexts including financial ones</t>
        </is>
      </c>
      <c r="K177" t="inlineStr">
        <is>
          <t>Solve simultaneous linear equations using the substitution method and the elimination method; choose between methods based on the form of the equations; verify each solution by substitution into both equations; relate the algebraic solution to the graphical intersection point.</t>
        </is>
      </c>
      <c r="L177" t="inlineStr">
        <is>
          <t>auto-marked</t>
        </is>
      </c>
      <c r="M177" t="inlineStr">
        <is>
          <t>y10_alg_06</t>
        </is>
      </c>
      <c r="N177" t="inlineStr">
        <is>
          <t>Published</t>
        </is>
      </c>
      <c r="O177" t="inlineStr">
        <is>
          <t>2026-06-07</t>
        </is>
      </c>
      <c r="P177" t="inlineStr">
        <is>
          <t>https://seager94.github.io/year-10/algebra/y10_alg_07_solving_simultaneous_equations_algebraically_v2.html</t>
        </is>
      </c>
      <c r="Q177" t="inlineStr">
        <is>
          <t>Substitution method extends Y9 equation-solving techniques. Elimination is the new manoeuvre — flag for I Do worked example.</t>
        </is>
      </c>
    </row>
    <row r="178" ht="15" customHeight="1" s="1">
      <c r="A178" t="inlineStr">
        <is>
          <t>y10_alg_08</t>
        </is>
      </c>
      <c r="B178" t="n">
        <v>10</v>
      </c>
      <c r="C178" t="inlineStr">
        <is>
          <t>Algebra</t>
        </is>
      </c>
      <c r="D178" t="n">
        <v>8</v>
      </c>
      <c r="E178" t="inlineStr">
        <is>
          <t>modelling_with_simultaneous_equations</t>
        </is>
      </c>
      <c r="F178" t="inlineStr">
        <is>
          <t>y10_alg_08_modelling_with_simultaneous_equations_v2.html</t>
        </is>
      </c>
      <c r="G178" t="inlineStr">
        <is>
          <t>AC9M10A02</t>
        </is>
      </c>
      <c r="H178" t="inlineStr">
        <is>
          <t>1,2,6</t>
        </is>
      </c>
      <c r="I178" t="inlineStr">
        <is>
          <t>Strict</t>
        </is>
      </c>
      <c r="J178" t="inlineStr">
        <is>
          <t>Relationships between variables can be described and modelled by linear, quadratic and exponential functions applied in many contexts including financial ones</t>
        </is>
      </c>
      <c r="K178" t="inlineStr">
        <is>
          <t>Model practical situations with simultaneous equations — comparing two job quotes (fixed call-out plus hourly rate), profit/loss break-even, mixing two priced items to a total budget; communicate solutions in everyday language such as break-even point or point-to-change-providers; explore First Nations Australian children's instructive games (e.g. Weme from the Warlpiri Peoples) and their connection to strategic reasoning.</t>
        </is>
      </c>
      <c r="L178" t="inlineStr">
        <is>
          <t>auto-marked + open-ended</t>
        </is>
      </c>
      <c r="M178" t="inlineStr">
        <is>
          <t>y10_alg_07</t>
        </is>
      </c>
      <c r="N178" t="inlineStr">
        <is>
          <t>Published</t>
        </is>
      </c>
      <c r="O178" t="inlineStr">
        <is>
          <t>2026-06-07</t>
        </is>
      </c>
      <c r="P178" t="inlineStr">
        <is>
          <t>https://seager94.github.io/year-10/algebra/y10_alg_08_modelling_with_simultaneous_equations_v2.html</t>
        </is>
      </c>
      <c r="Q178" t="inlineStr">
        <is>
          <t>Finance context per house preference. Captures e1 (contextual lin eq), e2 (interpretation), and e6 (First Nations games).</t>
        </is>
      </c>
    </row>
    <row r="179" ht="15" customHeight="1" s="1">
      <c r="A179" t="inlineStr">
        <is>
          <t>y10_alg_09</t>
        </is>
      </c>
      <c r="B179" t="n">
        <v>10</v>
      </c>
      <c r="C179" t="inlineStr">
        <is>
          <t>Algebra</t>
        </is>
      </c>
      <c r="D179" t="n">
        <v>9</v>
      </c>
      <c r="E179" t="inlineStr">
        <is>
          <t>graphing_linear_inequalities_in_two_variables</t>
        </is>
      </c>
      <c r="F179" t="inlineStr">
        <is>
          <t>y10_alg_09_graphing_linear_inequalities_in_two_variables_v2.html</t>
        </is>
      </c>
      <c r="G179" t="inlineStr">
        <is>
          <t>AC9M10A02</t>
        </is>
      </c>
      <c r="H179" t="inlineStr">
        <is>
          <t>3,5</t>
        </is>
      </c>
      <c r="I179" t="inlineStr">
        <is>
          <t>Strict</t>
        </is>
      </c>
      <c r="J179" t="inlineStr">
        <is>
          <t>Relationships between variables can be described and modelled by linear, quadratic and exponential functions applied in many contexts including financial ones</t>
        </is>
      </c>
      <c r="K179" t="inlineStr">
        <is>
          <t>Graph the solution region for a single linear inequality in two variables (e.g. 2x + 3y &lt; 24); use a test point such as (0, 0) to determine which side of the line to shade; recognise the convention of solid versus dashed boundary lines for ≤/≥ versus &lt;/&gt;; test whether a given point satisfies an inequality (extending to non-linear cases like 2y &lt; x²).</t>
        </is>
      </c>
      <c r="L179" t="inlineStr">
        <is>
          <t>auto-marked</t>
        </is>
      </c>
      <c r="M179" t="inlineStr">
        <is>
          <t>y10_alg_06</t>
        </is>
      </c>
      <c r="N179" t="inlineStr">
        <is>
          <t>Published</t>
        </is>
      </c>
      <c r="O179" t="inlineStr">
        <is>
          <t>2026-06-07</t>
        </is>
      </c>
      <c r="P179" t="inlineStr">
        <is>
          <t>https://seager94.github.io/year-10/algebra/y10_alg_09_graphing_linear_inequalities_in_two_variables_v2.html</t>
        </is>
      </c>
      <c r="Q179" t="inlineStr">
        <is>
          <t>Builds on Y8 alg_06 (single-variable inequality regions); Y10 extends to two variables and shading conventions.</t>
        </is>
      </c>
    </row>
    <row r="180" ht="15" customHeight="1" s="1">
      <c r="A180" t="inlineStr">
        <is>
          <t>y10_alg_10</t>
        </is>
      </c>
      <c r="B180" t="n">
        <v>10</v>
      </c>
      <c r="C180" t="inlineStr">
        <is>
          <t>Algebra</t>
        </is>
      </c>
      <c r="D180" t="n">
        <v>10</v>
      </c>
      <c r="E180" t="inlineStr">
        <is>
          <t>systems_of_inequalities_and_feasible_regions</t>
        </is>
      </c>
      <c r="F180" t="inlineStr">
        <is>
          <t>y10_alg_10_systems_of_inequalities_and_feasible_regions_v2.html</t>
        </is>
      </c>
      <c r="G180" t="inlineStr">
        <is>
          <t>AC9M10A02</t>
        </is>
      </c>
      <c r="H180" t="inlineStr">
        <is>
          <t>4</t>
        </is>
      </c>
      <c r="I180" t="inlineStr">
        <is>
          <t>Strict</t>
        </is>
      </c>
      <c r="J180" t="inlineStr">
        <is>
          <t>Relationships between variables can be described and modelled by linear, quadratic and exponential functions applied in many contexts including financial ones</t>
        </is>
      </c>
      <c r="K180" t="inlineStr">
        <is>
          <t>Graph systems of two or more linear inequalities and identify the feasible region; find all integer solutions in the feasible region for budget problems such as combinations of movie trips at $12 each and ice-skating sessions at $21 each with an entertainment budget of $150 (12m + 21s ≤ 150); list integer solutions and interpret in context.</t>
        </is>
      </c>
      <c r="L180" t="inlineStr">
        <is>
          <t>auto-marked</t>
        </is>
      </c>
      <c r="M180" t="inlineStr">
        <is>
          <t>y10_alg_09</t>
        </is>
      </c>
      <c r="N180" t="inlineStr">
        <is>
          <t>Published</t>
        </is>
      </c>
      <c r="O180" t="inlineStr">
        <is>
          <t>2026-06-07</t>
        </is>
      </c>
      <c r="P180" t="inlineStr">
        <is>
          <t>https://seager94.github.io/year-10/algebra/y10_alg_10_systems_of_inequalities_and_feasible_regions_v2.html</t>
        </is>
      </c>
      <c r="Q180" t="inlineStr">
        <is>
          <t>Finance context per house preference. Foundation for later linear programming work in senior years.</t>
        </is>
      </c>
    </row>
    <row r="181" ht="15" customHeight="1" s="1">
      <c r="A181" t="inlineStr">
        <is>
          <t>y10_alg_11</t>
        </is>
      </c>
      <c r="B181" t="n">
        <v>10</v>
      </c>
      <c r="C181" t="inlineStr">
        <is>
          <t>Algebra</t>
        </is>
      </c>
      <c r="D181" t="n">
        <v>11</v>
      </c>
      <c r="E181" t="inlineStr">
        <is>
          <t>introducing_exponential_functions</t>
        </is>
      </c>
      <c r="F181" t="inlineStr">
        <is>
          <t>y10_alg_11_introducing_exponential_functions_v2.html</t>
        </is>
      </c>
      <c r="G181" t="inlineStr">
        <is>
          <t>AC9M10A03</t>
        </is>
      </c>
      <c r="H181" t="inlineStr">
        <is>
          <t>1,2</t>
        </is>
      </c>
      <c r="I181" t="inlineStr">
        <is>
          <t>Strict</t>
        </is>
      </c>
      <c r="J181" t="inlineStr">
        <is>
          <t>Relationships between variables can be described and modelled by linear, quadratic and exponential functions applied in many contexts including financial ones</t>
        </is>
      </c>
      <c r="K181" t="inlineStr">
        <is>
          <t>Recognise an exponential relation from a table of values by checking whether the ratio between consecutive values of the dependent variable is constant; contrast with the constant first-difference diagnostic for linear and constant second-difference for quadratic; plot y = aˣ for a = 2, 3, ½, ⅓ and describe the family.</t>
        </is>
      </c>
      <c r="L181" t="inlineStr">
        <is>
          <t>auto-marked</t>
        </is>
      </c>
      <c r="M181" t="inlineStr">
        <is>
          <t>y9_alg_17</t>
        </is>
      </c>
      <c r="N181" t="inlineStr">
        <is>
          <t>Published</t>
        </is>
      </c>
      <c r="O181" t="inlineStr">
        <is>
          <t>2026-06-08</t>
        </is>
      </c>
      <c r="P181" t="inlineStr">
        <is>
          <t>https://seager94.github.io/year-10/algebra/y10_alg_11_introducing_exponential_functions_v2.html</t>
        </is>
      </c>
      <c r="Q181" t="inlineStr">
        <is>
          <t>Watershed lesson: first formal treatment of exponentials as a function family. Builds on Y9 alg_17 (taster lesson — families of functions). Constant-ratio diagnostic is the key thinking tool, parallel to constant-first-difference and constant-second-difference.</t>
        </is>
      </c>
    </row>
    <row r="182" ht="15" customHeight="1" s="1">
      <c r="A182" t="inlineStr">
        <is>
          <t>y10_alg_12</t>
        </is>
      </c>
      <c r="B182" t="n">
        <v>10</v>
      </c>
      <c r="C182" t="inlineStr">
        <is>
          <t>Algebra</t>
        </is>
      </c>
      <c r="D182" t="n">
        <v>12</v>
      </c>
      <c r="E182" t="inlineStr">
        <is>
          <t>features_of_exponential_graphs</t>
        </is>
      </c>
      <c r="F182" t="inlineStr">
        <is>
          <t>y10_alg_12_features_of_exponential_graphs_v2.html</t>
        </is>
      </c>
      <c r="G182" t="inlineStr">
        <is>
          <t>AC9M10A03</t>
        </is>
      </c>
      <c r="H182" t="inlineStr">
        <is>
          <t>2,3</t>
        </is>
      </c>
      <c r="I182" t="inlineStr">
        <is>
          <t>Strict</t>
        </is>
      </c>
      <c r="J182" t="inlineStr">
        <is>
          <t>Relationships between variables can be described and modelled by linear, quadratic and exponential functions applied in many contexts including financial ones</t>
        </is>
      </c>
      <c r="K182" t="inlineStr">
        <is>
          <t>Identify the y-intercept (always 1 for y = aˣ), horizontal asymptote (y = 0), domain, range, and whether the function represents growth (a &gt; 1) or decay (0 &lt; a &lt; 1); explore transformations y = aˣ + k and y = aˣ⁻ʰ using graphing software; describe systematic changes in features.</t>
        </is>
      </c>
      <c r="L182" t="inlineStr">
        <is>
          <t>auto-marked + open-ended</t>
        </is>
      </c>
      <c r="M182" t="inlineStr">
        <is>
          <t>y10_alg_11</t>
        </is>
      </c>
      <c r="N182" t="inlineStr">
        <is>
          <t>Published</t>
        </is>
      </c>
      <c r="O182" t="inlineStr">
        <is>
          <t>2026-06-08</t>
        </is>
      </c>
      <c r="P182" t="inlineStr">
        <is>
          <t>https://seager94.github.io/year-10/algebra/y10_alg_12_features_of_exponential_graphs_v2.html</t>
        </is>
      </c>
      <c r="Q182" t="inlineStr">
        <is>
          <t>Investigation-style — practice can include guided parameter-variation tasks alongside auto-marked feature-identification.</t>
        </is>
      </c>
    </row>
    <row r="183" ht="15" customHeight="1" s="1">
      <c r="A183" t="inlineStr">
        <is>
          <t>y10_alg_13</t>
        </is>
      </c>
      <c r="B183" t="n">
        <v>10</v>
      </c>
      <c r="C183" t="inlineStr">
        <is>
          <t>Algebra</t>
        </is>
      </c>
      <c r="D183" t="n">
        <v>13</v>
      </c>
      <c r="E183" t="inlineStr">
        <is>
          <t>solving_exponential_equations</t>
        </is>
      </c>
      <c r="F183" t="inlineStr">
        <is>
          <t>y10_alg_13_solving_exponential_equations_v2.html</t>
        </is>
      </c>
      <c r="G183" t="inlineStr">
        <is>
          <t>AC9M10A03</t>
        </is>
      </c>
      <c r="H183" t="inlineStr">
        <is>
          <t>3,4</t>
        </is>
      </c>
      <c r="I183" t="inlineStr">
        <is>
          <t>Strict</t>
        </is>
      </c>
      <c r="J183" t="inlineStr">
        <is>
          <t>Relationships between variables can be described and modelled by linear, quadratic and exponential functions applied in many contexts including financial ones</t>
        </is>
      </c>
      <c r="K183" t="inlineStr">
        <is>
          <t>Solve exponential equations by inspection (equating exponents when bases match, e.g. 2ˣ = 32); solve graphically using digital tools (intersection of y = aˣ with y = c); solve using symbolic-manipulation tools; explore First Nations Australian Ranger groups' programs that model feral-versus-native animal populations using exponential equations.</t>
        </is>
      </c>
      <c r="L183" t="inlineStr">
        <is>
          <t>auto-marked</t>
        </is>
      </c>
      <c r="M183" t="inlineStr">
        <is>
          <t>y10_alg_12</t>
        </is>
      </c>
      <c r="N183" t="inlineStr">
        <is>
          <t>Published</t>
        </is>
      </c>
      <c r="O183" t="inlineStr">
        <is>
          <t>2026-06-08</t>
        </is>
      </c>
      <c r="P183" t="inlineStr">
        <is>
          <t>https://seager94.github.io/year-10/algebra/y10_alg_13_solving_exponential_equations_v2.html</t>
        </is>
      </c>
      <c r="Q183" t="inlineStr">
        <is>
          <t>No formal logarithms (those come in Year 11). Digital-tool solving is the Y10 pathway.</t>
        </is>
      </c>
    </row>
    <row r="184" ht="15" customHeight="1" s="1">
      <c r="A184" t="inlineStr">
        <is>
          <t>y10_alg_14</t>
        </is>
      </c>
      <c r="B184" t="n">
        <v>10</v>
      </c>
      <c r="C184" t="inlineStr">
        <is>
          <t>Algebra</t>
        </is>
      </c>
      <c r="D184" t="n">
        <v>14</v>
      </c>
      <c r="E184" t="inlineStr">
        <is>
          <t>choosing_linear_quadratic_or_exponential_models</t>
        </is>
      </c>
      <c r="F184" t="inlineStr">
        <is>
          <t>y10_alg_14_choosing_linear_quadratic_or_exponential_models_v2.html</t>
        </is>
      </c>
      <c r="G184" t="inlineStr">
        <is>
          <t>AC9M10A04</t>
        </is>
      </c>
      <c r="H184" t="inlineStr">
        <is>
          <t>1</t>
        </is>
      </c>
      <c r="I184" t="inlineStr">
        <is>
          <t>Strict</t>
        </is>
      </c>
      <c r="J184" t="inlineStr">
        <is>
          <t>Relationships between variables can be described and modelled by linear, quadratic and exponential functions applied in many contexts including financial ones</t>
        </is>
      </c>
      <c r="K184" t="inlineStr">
        <is>
          <t>Diagnose the appropriate function family for a context by examining a table of values — linear (constant first difference), quadratic (constant second difference), exponential (constant ratio); apply the diagnostic to data sets from finance, biology and physics; justify the choice and check the model against further data.</t>
        </is>
      </c>
      <c r="L184" t="inlineStr">
        <is>
          <t>auto-marked + open-ended</t>
        </is>
      </c>
      <c r="M184" t="inlineStr">
        <is>
          <t>y10_alg_11</t>
        </is>
      </c>
      <c r="N184" t="inlineStr">
        <is>
          <t>Published</t>
        </is>
      </c>
      <c r="O184" t="inlineStr">
        <is>
          <t>2026-06-08</t>
        </is>
      </c>
      <c r="P184" t="inlineStr">
        <is>
          <t>https://seager94.github.io/year-10/algebra/y10_alg_14_choosing_linear_quadratic_or_exponential_models_v2.html</t>
        </is>
      </c>
      <c r="Q184" t="inlineStr">
        <is>
          <t>Synthesis lesson — pulls together diagnostic skills from Y8 alg_05 (linear), Y9 alg_09 (quadratic) and y10_alg_11 (exponential).</t>
        </is>
      </c>
    </row>
    <row r="185" ht="15" customHeight="1" s="1">
      <c r="A185" t="inlineStr">
        <is>
          <t>y10_alg_15</t>
        </is>
      </c>
      <c r="B185" t="n">
        <v>10</v>
      </c>
      <c r="C185" t="inlineStr">
        <is>
          <t>Algebra</t>
        </is>
      </c>
      <c r="D185" t="n">
        <v>15</v>
      </c>
      <c r="E185" t="inlineStr">
        <is>
          <t>exponential_growth_and_decay</t>
        </is>
      </c>
      <c r="F185" t="inlineStr">
        <is>
          <t>y10_alg_15_exponential_growth_and_decay_v2.html</t>
        </is>
      </c>
      <c r="G185" t="inlineStr">
        <is>
          <t>AC9M10A04</t>
        </is>
      </c>
      <c r="H185" t="inlineStr">
        <is>
          <t>2,5</t>
        </is>
      </c>
      <c r="I185" t="inlineStr">
        <is>
          <t>Strict</t>
        </is>
      </c>
      <c r="J185" t="inlineStr">
        <is>
          <t>Relationships between variables can be described and modelled by linear, quadratic and exponential functions applied in many contexts including financial ones</t>
        </is>
      </c>
      <c r="K185" t="inlineStr">
        <is>
          <t>Model situations involving constant percentage change — population growth, bacterial growth, radioactive decay; calculate doubling time and half-life; determine the approximate interval over which values of the model lie within a given range; formulate exponential equations for First Nations Australian Ranger native-versus-feral population modelling.</t>
        </is>
      </c>
      <c r="L185" t="inlineStr">
        <is>
          <t>auto-marked + open-ended</t>
        </is>
      </c>
      <c r="M185" t="inlineStr">
        <is>
          <t>y10_alg_13</t>
        </is>
      </c>
      <c r="N185" t="inlineStr">
        <is>
          <t>Published</t>
        </is>
      </c>
      <c r="O185" t="inlineStr">
        <is>
          <t>2026-06-08</t>
        </is>
      </c>
      <c r="P185" t="inlineStr">
        <is>
          <t>https://seager94.github.io/year-10/algebra/y10_alg_15_exponential_growth_and_decay_v2.html</t>
        </is>
      </c>
    </row>
    <row r="186" ht="15" customHeight="1" s="1">
      <c r="A186" t="inlineStr">
        <is>
          <t>y10_alg_16</t>
        </is>
      </c>
      <c r="B186" t="n">
        <v>10</v>
      </c>
      <c r="C186" t="inlineStr">
        <is>
          <t>Algebra</t>
        </is>
      </c>
      <c r="D186" t="n">
        <v>16</v>
      </c>
      <c r="E186" t="inlineStr">
        <is>
          <t>compound_interest_modelling</t>
        </is>
      </c>
      <c r="F186" t="inlineStr">
        <is>
          <t>y10_alg_16_compound_interest_modelling_v2.html</t>
        </is>
      </c>
      <c r="G186" t="inlineStr">
        <is>
          <t>AC9M10A04</t>
        </is>
      </c>
      <c r="H186" t="inlineStr">
        <is>
          <t>3</t>
        </is>
      </c>
      <c r="I186" t="inlineStr">
        <is>
          <t>Strict</t>
        </is>
      </c>
      <c r="J186" t="inlineStr">
        <is>
          <t>Relationships between variables can be described and modelled by linear, quadratic and exponential functions applied in many contexts including financial ones</t>
        </is>
      </c>
      <c r="K186" t="inlineStr">
        <is>
          <t>Apply the compound interest formula A = P(1 + r/n)ⁿᵗ to authentic investment and loan scenarios; compare compound interest with simple interest over the same period; investigate the effect of compounding frequency (annual vs monthly vs daily); use authentic Australian interest rates and discuss real returns adjusted for inflation.</t>
        </is>
      </c>
      <c r="L186" t="inlineStr">
        <is>
          <t>auto-marked + open-ended</t>
        </is>
      </c>
      <c r="M186" t="inlineStr">
        <is>
          <t>y10_alg_15</t>
        </is>
      </c>
      <c r="N186" t="inlineStr">
        <is>
          <t>Published</t>
        </is>
      </c>
      <c r="O186" t="inlineStr">
        <is>
          <t>2026-06-08</t>
        </is>
      </c>
      <c r="P186" t="inlineStr">
        <is>
          <t>https://seager94.github.io/year-10/algebra/y10_alg_16_compound_interest_modelling_v2.html</t>
        </is>
      </c>
      <c r="Q186" t="inlineStr">
        <is>
          <t>Watershed lesson and finance flagship for Y10. Connects forward to Y10 num_02 (rounding error compounds at each cycle). Finance context per house preference.</t>
        </is>
      </c>
    </row>
    <row r="187" ht="15" customHeight="1" s="1">
      <c r="A187" t="inlineStr">
        <is>
          <t>y10_alg_17</t>
        </is>
      </c>
      <c r="B187" t="n">
        <v>10</v>
      </c>
      <c r="C187" t="inlineStr">
        <is>
          <t>Algebra</t>
        </is>
      </c>
      <c r="D187" t="n">
        <v>17</v>
      </c>
      <c r="E187" t="inlineStr">
        <is>
          <t>carbon_dating_and_applied_decay_modelling</t>
        </is>
      </c>
      <c r="F187" t="inlineStr">
        <is>
          <t>y10_alg_17_carbon_dating_and_applied_decay_modelling_v2.html</t>
        </is>
      </c>
      <c r="G187" t="inlineStr">
        <is>
          <t>AC9M10A04</t>
        </is>
      </c>
      <c r="H187" t="inlineStr">
        <is>
          <t>4,5</t>
        </is>
      </c>
      <c r="I187" t="inlineStr">
        <is>
          <t>Strict</t>
        </is>
      </c>
      <c r="J187" t="inlineStr">
        <is>
          <t>Relationships between variables can be described and modelled by linear, quadratic and exponential functions applied in many contexts including financial ones</t>
        </is>
      </c>
      <c r="K187" t="inlineStr">
        <is>
          <t>Apply exponential decay models to carbon dating of First Nations Australians' artefacts and material culture; investigate population modelling for native animals on Country/Place with varying reproductive behaviour; critique the applicability of an exponential model when populations approach environmental carrying capacity.</t>
        </is>
      </c>
      <c r="L187" t="inlineStr">
        <is>
          <t>auto-marked + open-ended</t>
        </is>
      </c>
      <c r="M187" t="inlineStr">
        <is>
          <t>y10_alg_15</t>
        </is>
      </c>
      <c r="N187" t="inlineStr">
        <is>
          <t>Published</t>
        </is>
      </c>
      <c r="O187" t="inlineStr">
        <is>
          <t>2026-06-08</t>
        </is>
      </c>
      <c r="P187" t="inlineStr">
        <is>
          <t>https://seager94.github.io/year-10/algebra/y10_alg_17_carbon_dating_and_applied_decay_modelling_v2.html</t>
        </is>
      </c>
      <c r="Q187" t="inlineStr">
        <is>
          <t>Open-ended modelling lesson — practice mixes calculation with model-critique questions.</t>
        </is>
      </c>
    </row>
    <row r="188" ht="15" customHeight="1" s="1">
      <c r="A188" t="inlineStr">
        <is>
          <t>y10_alg_18</t>
        </is>
      </c>
      <c r="B188" t="n">
        <v>10</v>
      </c>
      <c r="C188" t="inlineStr">
        <is>
          <t>Algebra</t>
        </is>
      </c>
      <c r="D188" t="n">
        <v>18</v>
      </c>
      <c r="E188" t="inlineStr">
        <is>
          <t>intersections_of_functions_with_digital_tools</t>
        </is>
      </c>
      <c r="F188" t="inlineStr">
        <is>
          <t>y10_alg_18_intersections_of_functions_with_digital_tools_v2.html</t>
        </is>
      </c>
      <c r="G188" t="inlineStr">
        <is>
          <t>AC9M10A05</t>
        </is>
      </c>
      <c r="H188" t="inlineStr">
        <is>
          <t>1,4</t>
        </is>
      </c>
      <c r="I188" t="inlineStr">
        <is>
          <t>Strict</t>
        </is>
      </c>
      <c r="J188" t="inlineStr">
        <is>
          <t>Relationships between variables can be described and modelled by linear, quadratic and exponential functions applied in many contexts including financial ones</t>
        </is>
      </c>
      <c r="K188" t="inlineStr">
        <is>
          <t>Use the zoom functionality of graphing tools to systematically refine intervals and approximate intersections of dissimilar functions (e.g. x² = 2ˣ, intersection of a linear function with a quadratic or a circle); compare graphical and algebraic solutions where both are available; recognise that some intersections have no exact closed-form solution.</t>
        </is>
      </c>
      <c r="L188" t="inlineStr">
        <is>
          <t>auto-marked + open-ended</t>
        </is>
      </c>
      <c r="M188" t="inlineStr">
        <is>
          <t>y10_alg_11</t>
        </is>
      </c>
      <c r="N188" t="inlineStr">
        <is>
          <t>Published</t>
        </is>
      </c>
      <c r="O188" t="inlineStr">
        <is>
          <t>2026-06-08</t>
        </is>
      </c>
      <c r="P188" t="inlineStr">
        <is>
          <t>https://seager94.github.io/year-10/algebra/y10_alg_18_intersections_of_functions_with_digital_tools_v2.html</t>
        </is>
      </c>
      <c r="Q188" t="inlineStr">
        <is>
          <t>Investigation lesson — practice can include screenshot-based or table-of-values items for the zoom workflow.</t>
        </is>
      </c>
    </row>
    <row r="189" ht="15" customHeight="1" s="1">
      <c r="A189" t="inlineStr">
        <is>
          <t>y10_alg_19</t>
        </is>
      </c>
      <c r="B189" t="n">
        <v>10</v>
      </c>
      <c r="C189" t="inlineStr">
        <is>
          <t>Algebra</t>
        </is>
      </c>
      <c r="D189" t="n">
        <v>19</v>
      </c>
      <c r="E189" t="inlineStr">
        <is>
          <t>circle_equations_and_transformations</t>
        </is>
      </c>
      <c r="F189" t="inlineStr">
        <is>
          <t>y10_alg_19_circle_equations_and_transformations_v2.html</t>
        </is>
      </c>
      <c r="G189" t="inlineStr">
        <is>
          <t>AC9M10A05</t>
        </is>
      </c>
      <c r="H189" t="inlineStr">
        <is>
          <t>3</t>
        </is>
      </c>
      <c r="I189" t="inlineStr">
        <is>
          <t>Strict</t>
        </is>
      </c>
      <c r="J189" t="inlineStr">
        <is>
          <t>Relationships between variables can be described and modelled by linear, quadratic and exponential functions applied in many contexts including financial ones</t>
        </is>
      </c>
      <c r="K189" t="inlineStr">
        <is>
          <t>Recognise x² + y² = 1 as the unit circle centred at the origin; apply transformations — dilation x² + y² = r² (scaling), translation (x − h)² + (y − k)² = r²; locate the centre and radius of any circle written in standard form; sketch transformed circles on the Cartesian plane.</t>
        </is>
      </c>
      <c r="L189" t="inlineStr">
        <is>
          <t>auto-marked</t>
        </is>
      </c>
      <c r="M189" t="inlineStr">
        <is>
          <t>y9_alg_07</t>
        </is>
      </c>
      <c r="N189" t="inlineStr">
        <is>
          <t>Published</t>
        </is>
      </c>
      <c r="O189" t="inlineStr">
        <is>
          <t>2026-06-08</t>
        </is>
      </c>
      <c r="P189" t="inlineStr">
        <is>
          <t>https://seager94.github.io/year-10/algebra/y10_alg_19_circle_equations_and_transformations_v2.html</t>
        </is>
      </c>
      <c r="Q189" t="inlineStr">
        <is>
          <t>Cross-strand prereq: distance formula from y9_alg_07. First analytic treatment of the circle as a relation in Cartesian form.</t>
        </is>
      </c>
    </row>
    <row r="190" ht="15" customHeight="1" s="1">
      <c r="A190" t="inlineStr">
        <is>
          <t>y10_alg_20</t>
        </is>
      </c>
      <c r="B190" t="n">
        <v>10</v>
      </c>
      <c r="C190" t="inlineStr">
        <is>
          <t>Algebra</t>
        </is>
      </c>
      <c r="D190" t="n">
        <v>20</v>
      </c>
      <c r="E190" t="inlineStr">
        <is>
          <t>intervals_and_iterative_methods</t>
        </is>
      </c>
      <c r="F190" t="inlineStr">
        <is>
          <t>y10_alg_20_intervals_and_iterative_methods_v2.html</t>
        </is>
      </c>
      <c r="G190" t="inlineStr">
        <is>
          <t>AC9M10A05</t>
        </is>
      </c>
      <c r="H190" t="inlineStr">
        <is>
          <t>2,5,6</t>
        </is>
      </c>
      <c r="I190" t="inlineStr">
        <is>
          <t>Strict</t>
        </is>
      </c>
      <c r="J190" t="inlineStr">
        <is>
          <t>Relationships between variables can be described and modelled by linear, quadratic and exponential functions applied in many contexts including financial ones</t>
        </is>
      </c>
      <c r="K190" t="inlineStr">
        <is>
          <t>Apply the bisection algorithm to approximate the x-intercepts of a quadratic such as f(x) = 2x² − 3x − 7; identify intervals on the real number line where a quadratic is positive or negative (sign chart); use a table of values to determine when an exponential growth or decay model exceeds or falls below a given value, e.g. share-price monitoring.</t>
        </is>
      </c>
      <c r="L190" t="inlineStr">
        <is>
          <t>auto-marked</t>
        </is>
      </c>
      <c r="M190" t="inlineStr">
        <is>
          <t>y10_alg_04,y10_alg_13</t>
        </is>
      </c>
      <c r="N190" t="inlineStr">
        <is>
          <t>Published</t>
        </is>
      </c>
      <c r="O190" t="inlineStr">
        <is>
          <t>2026-06-08</t>
        </is>
      </c>
      <c r="P190" t="inlineStr">
        <is>
          <t>https://seager94.github.io/year-10/algebra/y10_alg_20_intervals_and_iterative_methods_v2.html</t>
        </is>
      </c>
      <c r="Q190" t="inlineStr">
        <is>
          <t>Bisection is a computational-thinking thread — sets up senior-school numerical methods. Sign-chart skill bridges to y11/y12 inequalities.</t>
        </is>
      </c>
    </row>
    <row r="191" ht="15" customHeight="1" s="1">
      <c r="A191" t="inlineStr">
        <is>
          <t>y10_mea_01</t>
        </is>
      </c>
      <c r="B191" t="n">
        <v>10</v>
      </c>
      <c r="C191" t="inlineStr">
        <is>
          <t>Measurement</t>
        </is>
      </c>
      <c r="D191" t="n">
        <v>1</v>
      </c>
      <c r="E191" t="inlineStr">
        <is>
          <t>surface_area_of_composite_solids</t>
        </is>
      </c>
      <c r="F191" t="inlineStr">
        <is>
          <t>y10_mea_01_surface_area_of_composite_solids_v2.html</t>
        </is>
      </c>
      <c r="G191" t="inlineStr">
        <is>
          <t>AC9M10M01</t>
        </is>
      </c>
      <c r="H191" t="inlineStr">
        <is>
          <t>1</t>
        </is>
      </c>
      <c r="I191" t="inlineStr">
        <is>
          <t>Strict</t>
        </is>
      </c>
      <c r="J191" t="inlineStr">
        <is>
          <t>Attributes of 1-, 2- and 3-dimensional objects are described and measured in appropriate standardised units</t>
        </is>
      </c>
      <c r="K191" t="inlineStr">
        <is>
          <t>Calculate the surface area of composite solids formed from right prisms and cylinders by considering each component face and identifying hidden internal faces; carefully subtract overlapping regions where solids meet; check answers against a sketched net layout.</t>
        </is>
      </c>
      <c r="L191" t="inlineStr">
        <is>
          <t>auto-marked</t>
        </is>
      </c>
      <c r="M191" t="inlineStr">
        <is>
          <t>y9_mea_01,y9_mea_02</t>
        </is>
      </c>
      <c r="N191" t="inlineStr">
        <is>
          <t>Planned</t>
        </is>
      </c>
      <c r="Q191" t="inlineStr">
        <is>
          <t>Extends Y9 mea_01 (prism SA) and Y9 mea_02 (cylinder SA) to composite solids. Internal-face identification is the threshold skill.</t>
        </is>
      </c>
    </row>
    <row r="192" ht="15" customHeight="1" s="1">
      <c r="A192" t="inlineStr">
        <is>
          <t>y10_mea_02</t>
        </is>
      </c>
      <c r="B192" t="n">
        <v>10</v>
      </c>
      <c r="C192" t="inlineStr">
        <is>
          <t>Measurement</t>
        </is>
      </c>
      <c r="D192" t="n">
        <v>2</v>
      </c>
      <c r="E192" t="inlineStr">
        <is>
          <t>volume_of_composite_solids</t>
        </is>
      </c>
      <c r="F192" t="inlineStr">
        <is>
          <t>y10_mea_02_volume_of_composite_solids_v2.html</t>
        </is>
      </c>
      <c r="G192" t="inlineStr">
        <is>
          <t>AC9M10M01</t>
        </is>
      </c>
      <c r="H192" t="inlineStr">
        <is>
          <t>1</t>
        </is>
      </c>
      <c r="I192" t="inlineStr">
        <is>
          <t>Strict</t>
        </is>
      </c>
      <c r="J192" t="inlineStr">
        <is>
          <t>Attributes of 1-, 2- and 3-dimensional objects are described and measured in appropriate standardised units</t>
        </is>
      </c>
      <c r="K192" t="inlineStr">
        <is>
          <t>Calculate the volume of composite solids by decomposing into right prisms and cylinders, summing component volumes; for hollow composites (e.g. pipe sections), subtract the inner volume from the outer; verify with an alternative decomposition.</t>
        </is>
      </c>
      <c r="L192" t="inlineStr">
        <is>
          <t>auto-marked</t>
        </is>
      </c>
      <c r="M192" t="inlineStr">
        <is>
          <t>y9_mea_02</t>
        </is>
      </c>
      <c r="N192" t="inlineStr">
        <is>
          <t>Planned</t>
        </is>
      </c>
      <c r="Q192" t="inlineStr">
        <is>
          <t>Extends Y8 mea_03 (composite prism V) by adding cylinders to the toolkit.</t>
        </is>
      </c>
    </row>
    <row r="193" ht="15" customHeight="1" s="1">
      <c r="A193" t="inlineStr">
        <is>
          <t>y10_mea_03</t>
        </is>
      </c>
      <c r="B193" t="n">
        <v>10</v>
      </c>
      <c r="C193" t="inlineStr">
        <is>
          <t>Measurement</t>
        </is>
      </c>
      <c r="D193" t="n">
        <v>3</v>
      </c>
      <c r="E193" t="inlineStr">
        <is>
          <t>modelling_with_surface_area_and_volume</t>
        </is>
      </c>
      <c r="F193" t="inlineStr">
        <is>
          <t>y10_mea_03_modelling_with_surface_area_and_volume_v2.html</t>
        </is>
      </c>
      <c r="G193" t="inlineStr">
        <is>
          <t>AC9M10M01</t>
        </is>
      </c>
      <c r="H193" t="inlineStr">
        <is>
          <t>2,3</t>
        </is>
      </c>
      <c r="I193" t="inlineStr">
        <is>
          <t>Strict</t>
        </is>
      </c>
      <c r="J193" t="inlineStr">
        <is>
          <t>Attributes of 1-, 2- and 3-dimensional objects are described and measured in appropriate standardised units</t>
        </is>
      </c>
      <c r="K193" t="inlineStr">
        <is>
          <t>Estimate surface area and volume of irregular composite objects in practical contexts; use mathematical modelling to determine the rainfall that can be saved from a roof top and the optimal shape and dimensions for rainwater storage; determine whether to hire extra freezer space for a fundraising event based on volume of ice cream required.</t>
        </is>
      </c>
      <c r="L193" t="inlineStr">
        <is>
          <t>auto-marked + open-ended</t>
        </is>
      </c>
      <c r="M193" t="inlineStr">
        <is>
          <t>y10_mea_01,y10_mea_02</t>
        </is>
      </c>
      <c r="N193" t="inlineStr">
        <is>
          <t>Planned</t>
        </is>
      </c>
      <c r="Q193" t="inlineStr">
        <is>
          <t>Full modelling cycle — formulate, solve, interpret, evaluate. Cross-references y10_num_02 (compounding rounding error in volume calculations).</t>
        </is>
      </c>
    </row>
    <row r="194" ht="15" customHeight="1" s="1">
      <c r="A194" t="inlineStr">
        <is>
          <t>y10_mea_04</t>
        </is>
      </c>
      <c r="B194" t="n">
        <v>10</v>
      </c>
      <c r="C194" t="inlineStr">
        <is>
          <t>Measurement</t>
        </is>
      </c>
      <c r="D194" t="n">
        <v>4</v>
      </c>
      <c r="E194" t="inlineStr">
        <is>
          <t>introducing_logarithmic_scales</t>
        </is>
      </c>
      <c r="F194" t="inlineStr">
        <is>
          <t>y10_mea_04_introducing_logarithmic_scales_v2.html</t>
        </is>
      </c>
      <c r="G194" t="inlineStr">
        <is>
          <t>AC9M10M02</t>
        </is>
      </c>
      <c r="H194" t="inlineStr">
        <is>
          <t>1,2</t>
        </is>
      </c>
      <c r="I194" t="inlineStr">
        <is>
          <t>Strict</t>
        </is>
      </c>
      <c r="J194" t="inlineStr">
        <is>
          <t>Attributes of 1-, 2- and 3-dimensional objects are described and measured in appropriate standardised units</t>
        </is>
      </c>
      <c r="K194" t="inlineStr">
        <is>
          <t>Understand that a logarithmic scale is calibrated in terms of order of magnitude — doubling (×2 per step) or powers of 10; read values from a log-scale axis; identify and interpret data representations using log scales; discuss when a log scale is appropriate (wide range of values, percentage change, exponential growth) versus when a linear scale is preferred.</t>
        </is>
      </c>
      <c r="L194" t="inlineStr">
        <is>
          <t>auto-marked</t>
        </is>
      </c>
      <c r="M194" t="inlineStr">
        <is>
          <t>y9_mea_04</t>
        </is>
      </c>
      <c r="N194" t="inlineStr">
        <is>
          <t>Planned</t>
        </is>
      </c>
      <c r="Q194" t="inlineStr">
        <is>
          <t>No Y7-9 precedent — fully new topic flagged by Sam. Builds on y9_mea_04 (scientific notation) for orders-of-magnitude thinking. Conceptual lesson; no formal log algebra (deferred to Y11).</t>
        </is>
      </c>
    </row>
    <row r="195" ht="15" customHeight="1" s="1">
      <c r="A195" t="inlineStr">
        <is>
          <t>y10_mea_05</t>
        </is>
      </c>
      <c r="B195" t="n">
        <v>10</v>
      </c>
      <c r="C195" t="inlineStr">
        <is>
          <t>Measurement</t>
        </is>
      </c>
      <c r="D195" t="n">
        <v>5</v>
      </c>
      <c r="E195" t="inlineStr">
        <is>
          <t>applying_logarithmic_scales_in_context</t>
        </is>
      </c>
      <c r="F195" t="inlineStr">
        <is>
          <t>y10_mea_05_applying_logarithmic_scales_in_context_v2.html</t>
        </is>
      </c>
      <c r="G195" t="inlineStr">
        <is>
          <t>AC9M10M02</t>
        </is>
      </c>
      <c r="H195" t="inlineStr">
        <is>
          <t>3,4</t>
        </is>
      </c>
      <c r="I195" t="inlineStr">
        <is>
          <t>Strict</t>
        </is>
      </c>
      <c r="J195" t="inlineStr">
        <is>
          <t>Attributes of 1-, 2- and 3-dimensional objects are described and measured in appropriate standardised units</t>
        </is>
      </c>
      <c r="K195" t="inlineStr">
        <is>
          <t>Interpret real-world logarithmic scales — Richter (earthquake magnitude), decibel (sound intensity), pH (acidity), star apparent magnitude; understand what a one-unit change represents on each scale; investigate dating of First Peoples of Australia's archaeological sites (e.g. Madjedbebe, NT) using scientific notation and measurement-accuracy considerations.</t>
        </is>
      </c>
      <c r="L195" t="inlineStr">
        <is>
          <t>auto-marked + open-ended</t>
        </is>
      </c>
      <c r="M195" t="inlineStr">
        <is>
          <t>y10_mea_04</t>
        </is>
      </c>
      <c r="N195" t="inlineStr">
        <is>
          <t>Planned</t>
        </is>
      </c>
      <c r="Q195" t="inlineStr">
        <is>
          <t>No Y7-9 precedent. Cultural context is central — Madjedbebe dating directly elaborated in the AC9 text.</t>
        </is>
      </c>
    </row>
    <row r="196" ht="15" customHeight="1" s="1">
      <c r="A196" t="inlineStr">
        <is>
          <t>y10_mea_06</t>
        </is>
      </c>
      <c r="B196" t="n">
        <v>10</v>
      </c>
      <c r="C196" t="inlineStr">
        <is>
          <t>Measurement</t>
        </is>
      </c>
      <c r="D196" t="n">
        <v>6</v>
      </c>
      <c r="E196" t="inlineStr">
        <is>
          <t>angles_of_elevation_and_depression</t>
        </is>
      </c>
      <c r="F196" t="inlineStr">
        <is>
          <t>y10_mea_06_angles_of_elevation_and_depression_v2.html</t>
        </is>
      </c>
      <c r="G196" t="inlineStr">
        <is>
          <t>AC9M10M03</t>
        </is>
      </c>
      <c r="H196" t="inlineStr">
        <is>
          <t>3,4</t>
        </is>
      </c>
      <c r="I196" t="inlineStr">
        <is>
          <t>Strict</t>
        </is>
      </c>
      <c r="J196" t="inlineStr">
        <is>
          <t>Attributes of 1-, 2- and 3-dimensional objects are described and measured in appropriate standardised units</t>
        </is>
      </c>
      <c r="K196" t="inlineStr">
        <is>
          <t>Define angle of elevation as the angle measured upward from the horizontal to a target; define angle of depression similarly downward; apply right-angled trigonometry to find heights and distances; use a clinometer (or simulated app) to measure angles of inclination and determine the height of buildings, flagpoles or trees.</t>
        </is>
      </c>
      <c r="L196" t="inlineStr">
        <is>
          <t>auto-marked</t>
        </is>
      </c>
      <c r="M196" t="inlineStr">
        <is>
          <t>y9_spa_03</t>
        </is>
      </c>
      <c r="N196" t="inlineStr">
        <is>
          <t>Planned</t>
        </is>
      </c>
      <c r="Q196" t="inlineStr">
        <is>
          <t>Cross-strand prereq: y9_spa_03 (sin/cos/tan defined). First formal treatment of elevation/depression angles.</t>
        </is>
      </c>
    </row>
    <row r="197" ht="15" customHeight="1" s="1">
      <c r="A197" t="inlineStr">
        <is>
          <t>y10_mea_07</t>
        </is>
      </c>
      <c r="B197" t="n">
        <v>10</v>
      </c>
      <c r="C197" t="inlineStr">
        <is>
          <t>Measurement</t>
        </is>
      </c>
      <c r="D197" t="n">
        <v>7</v>
      </c>
      <c r="E197" t="inlineStr">
        <is>
          <t>bearings_and_navigation</t>
        </is>
      </c>
      <c r="F197" t="inlineStr">
        <is>
          <t>y10_mea_07_bearings_and_navigation_v2.html</t>
        </is>
      </c>
      <c r="G197" t="inlineStr">
        <is>
          <t>AC9M10M03</t>
        </is>
      </c>
      <c r="H197" t="inlineStr">
        <is>
          <t>1,5</t>
        </is>
      </c>
      <c r="I197" t="inlineStr">
        <is>
          <t>Strict</t>
        </is>
      </c>
      <c r="J197" t="inlineStr">
        <is>
          <t>Attributes of 1-, 2- and 3-dimensional objects are described and measured in appropriate standardised units</t>
        </is>
      </c>
      <c r="K197" t="inlineStr">
        <is>
          <t>Read and write three-figure bearings (000° to 360° measured clockwise from north); apply right-angled trigonometry to multi-leg navigation problems such as orienteering courses; determine the final bearing and estimate the distance of the closing leg of a route; explore navigation, design of technologies or surveying by First Nations Australians and connections to trigonometric reasoning.</t>
        </is>
      </c>
      <c r="L197" t="inlineStr">
        <is>
          <t>auto-marked</t>
        </is>
      </c>
      <c r="M197" t="inlineStr">
        <is>
          <t>y9_spa_03</t>
        </is>
      </c>
      <c r="N197" t="inlineStr">
        <is>
          <t>Planned</t>
        </is>
      </c>
      <c r="Q197" t="inlineStr">
        <is>
          <t>First time bearings are formalised. Decompose multi-leg routes into right triangles for trig application.</t>
        </is>
      </c>
    </row>
    <row r="198" ht="15" customHeight="1" s="1">
      <c r="A198" t="inlineStr">
        <is>
          <t>y10_mea_08</t>
        </is>
      </c>
      <c r="B198" t="n">
        <v>10</v>
      </c>
      <c r="C198" t="inlineStr">
        <is>
          <t>Measurement</t>
        </is>
      </c>
      <c r="D198" t="n">
        <v>8</v>
      </c>
      <c r="E198" t="inlineStr">
        <is>
          <t>three_dimensional_pythagoras_and_trig</t>
        </is>
      </c>
      <c r="F198" t="inlineStr">
        <is>
          <t>y10_mea_08_three_dimensional_pythagoras_and_trig_v2.html</t>
        </is>
      </c>
      <c r="G198" t="inlineStr">
        <is>
          <t>AC9M10M03</t>
        </is>
      </c>
      <c r="H198" t="inlineStr">
        <is>
          <t>2,4</t>
        </is>
      </c>
      <c r="I198" t="inlineStr">
        <is>
          <t>Strict</t>
        </is>
      </c>
      <c r="J198" t="inlineStr">
        <is>
          <t>Attributes of 1-, 2- and 3-dimensional objects are described and measured in appropriate standardised units</t>
        </is>
      </c>
      <c r="K198" t="inlineStr">
        <is>
          <t>Decompose three-dimensional problems into two-dimensional right-angled triangles; calculate the longest internal diagonal of a rectangular prism using Pythagoras' theorem twice; calculate the angle a diagonal makes with a face; determine the smallest box needed to package an object of given length; use dynamic geometry software for crime-scene reconstruction style problems.</t>
        </is>
      </c>
      <c r="L198" t="inlineStr">
        <is>
          <t>auto-marked</t>
        </is>
      </c>
      <c r="M198" t="inlineStr">
        <is>
          <t>y10_mea_06,y8_mea_12</t>
        </is>
      </c>
      <c r="N198" t="inlineStr">
        <is>
          <t>Planned</t>
        </is>
      </c>
      <c r="Q198" t="inlineStr">
        <is>
          <t>Watershed lesson — major synthesis of Pythagoras and trig in three dimensions. The two-step decomposition (find a 2D diagonal, then use it as a side of another right triangle) is the key technique.</t>
        </is>
      </c>
    </row>
    <row r="199" ht="15" customHeight="1" s="1">
      <c r="A199" t="inlineStr">
        <is>
          <t>y10_mea_09</t>
        </is>
      </c>
      <c r="B199" t="n">
        <v>10</v>
      </c>
      <c r="C199" t="inlineStr">
        <is>
          <t>Measurement</t>
        </is>
      </c>
      <c r="D199" t="n">
        <v>9</v>
      </c>
      <c r="E199" t="inlineStr">
        <is>
          <t>measurement_errors_in_research_and_instruments</t>
        </is>
      </c>
      <c r="F199" t="inlineStr">
        <is>
          <t>y10_mea_09_measurement_errors_in_research_and_instruments_v2.html</t>
        </is>
      </c>
      <c r="G199" t="inlineStr">
        <is>
          <t>AC9M10M04</t>
        </is>
      </c>
      <c r="H199" t="inlineStr">
        <is>
          <t>1,2</t>
        </is>
      </c>
      <c r="I199" t="inlineStr">
        <is>
          <t>Strict</t>
        </is>
      </c>
      <c r="J199" t="inlineStr">
        <is>
          <t>Measurement errors impact the accuracy of results</t>
        </is>
      </c>
      <c r="K199" t="inlineStr">
        <is>
          <t>Describe settings where measurement errors impact research results — biased findings, instrumentation limitations; analyse instruments and methods for measurement in investigations (resolution, accuracy, calibration); recognise how systematic versus random error propagates; design improvements that reduce error in a given experimental setup.</t>
        </is>
      </c>
      <c r="L199" t="inlineStr">
        <is>
          <t>auto-marked</t>
        </is>
      </c>
      <c r="M199" t="inlineStr">
        <is>
          <t>y9_mea_09</t>
        </is>
      </c>
      <c r="N199" t="inlineStr">
        <is>
          <t>Planned</t>
        </is>
      </c>
      <c r="Q199" t="inlineStr">
        <is>
          <t>Extends Y9 mea_09 / mea_10 (absolute/relative/percentage error) into research-design framing. M04 e3 (compounding finance errors) is covered via the cross-tag in y10_num_02.</t>
        </is>
      </c>
    </row>
    <row r="200" ht="15" customHeight="1" s="1">
      <c r="A200" t="inlineStr">
        <is>
          <t>y10_mea_10</t>
        </is>
      </c>
      <c r="B200" t="n">
        <v>10</v>
      </c>
      <c r="C200" t="inlineStr">
        <is>
          <t>Measurement</t>
        </is>
      </c>
      <c r="D200" t="n">
        <v>10</v>
      </c>
      <c r="E200" t="inlineStr">
        <is>
          <t>scientific_dating_and_ethical_measurement</t>
        </is>
      </c>
      <c r="F200" t="inlineStr">
        <is>
          <t>y10_mea_10_scientific_dating_and_ethical_measurement_v2.html</t>
        </is>
      </c>
      <c r="G200" t="inlineStr">
        <is>
          <t>AC9M10M04</t>
        </is>
      </c>
      <c r="H200" t="inlineStr">
        <is>
          <t>4</t>
        </is>
      </c>
      <c r="I200" t="inlineStr">
        <is>
          <t>Strict</t>
        </is>
      </c>
      <c r="J200" t="inlineStr">
        <is>
          <t>Measurement errors impact the accuracy of results</t>
        </is>
      </c>
      <c r="K200" t="inlineStr">
        <is>
          <t>Investigate scientific measuring techniques applied to First Peoples of Australia and their artefacts — radiocarbon dating, optically stimulated luminescence, genetic sequencing; discuss measurement-error implications for archaeological claims; examine the social impact of measurement errors in cultural-heritage research.</t>
        </is>
      </c>
      <c r="L200" t="inlineStr">
        <is>
          <t>auto-marked + open-ended</t>
        </is>
      </c>
      <c r="M200" t="inlineStr">
        <is>
          <t>y10_mea_09</t>
        </is>
      </c>
      <c r="N200" t="inlineStr">
        <is>
          <t>Planned</t>
        </is>
      </c>
      <c r="Q200" t="inlineStr">
        <is>
          <t>Companion to y10_mea_05 (Madjedbebe context). Open-ended modelling — practice can include analysis-style items alongside numeric error calculations.</t>
        </is>
      </c>
    </row>
    <row r="201" ht="15" customHeight="1" s="1">
      <c r="A201" t="inlineStr">
        <is>
          <t>y10_mea_11</t>
        </is>
      </c>
      <c r="B201" t="n">
        <v>10</v>
      </c>
      <c r="C201" t="inlineStr">
        <is>
          <t>Measurement</t>
        </is>
      </c>
      <c r="D201" t="n">
        <v>11</v>
      </c>
      <c r="E201" t="inlineStr">
        <is>
          <t>modelling_with_scale_drawings_and_plans</t>
        </is>
      </c>
      <c r="F201" t="inlineStr">
        <is>
          <t>y10_mea_11_modelling_with_scale_drawings_and_plans_v2.html</t>
        </is>
      </c>
      <c r="G201" t="inlineStr">
        <is>
          <t>AC9M10M05</t>
        </is>
      </c>
      <c r="H201" t="inlineStr">
        <is>
          <t>1,3</t>
        </is>
      </c>
      <c r="I201" t="inlineStr">
        <is>
          <t>Strict</t>
        </is>
      </c>
      <c r="J201" t="inlineStr">
        <is>
          <t>Attributes of 1-, 2- and 3-dimensional objects are described and measured in appropriate standardised units</t>
        </is>
      </c>
      <c r="K201" t="inlineStr">
        <is>
          <t>Use plans and elevation drawings to investigate changes to building designs; convert between scale and actual measurements; estimate the scale of an object such as a toy car by measuring one linear dimension and comparing with a known full-size dimension; make decisions about design changes based on scaled measurements.</t>
        </is>
      </c>
      <c r="L201" t="inlineStr">
        <is>
          <t>auto-marked + open-ended</t>
        </is>
      </c>
      <c r="M201" t="inlineStr">
        <is>
          <t>y8_mea_12</t>
        </is>
      </c>
      <c r="N201" t="inlineStr">
        <is>
          <t>Planned</t>
        </is>
      </c>
      <c r="Q201" t="inlineStr">
        <is>
          <t>Builds on Y8 mea_14 (scale and proportion in design). Y10 emphasis on full modelling cycle — formulate, interpret, evaluate, modify.</t>
        </is>
      </c>
    </row>
    <row r="202" ht="15" customHeight="1" s="1">
      <c r="A202" t="inlineStr">
        <is>
          <t>y10_mea_12</t>
        </is>
      </c>
      <c r="B202" t="n">
        <v>10</v>
      </c>
      <c r="C202" t="inlineStr">
        <is>
          <t>Measurement</t>
        </is>
      </c>
      <c r="D202" t="n">
        <v>12</v>
      </c>
      <c r="E202" t="inlineStr">
        <is>
          <t>modelling_with_3d_scaling_and_compliance</t>
        </is>
      </c>
      <c r="F202" t="inlineStr">
        <is>
          <t>y10_mea_12_modelling_with_3d_scaling_and_compliance_v2.html</t>
        </is>
      </c>
      <c r="G202" t="inlineStr">
        <is>
          <t>AC9M10M05</t>
        </is>
      </c>
      <c r="H202" t="inlineStr">
        <is>
          <t>2,4</t>
        </is>
      </c>
      <c r="I202" t="inlineStr">
        <is>
          <t>Strict</t>
        </is>
      </c>
      <c r="J202" t="inlineStr">
        <is>
          <t>Attributes of 1-, 2- and 3-dimensional objects are described and measured in appropriate standardised units</t>
        </is>
      </c>
      <c r="K202" t="inlineStr">
        <is>
          <t>Analyse and apply scale and ratios in production-prototype contexts including 3D printing; use a 3D printer (or simulation) to produce scaled versions of actual objects; investigate compliance with building codes and standards in design and construction, e.g. tread/riser ratios for escalators in shopping centres.</t>
        </is>
      </c>
      <c r="L202" t="inlineStr">
        <is>
          <t>auto-marked + open-ended</t>
        </is>
      </c>
      <c r="M202" t="inlineStr">
        <is>
          <t>y10_mea_11</t>
        </is>
      </c>
      <c r="N202" t="inlineStr">
        <is>
          <t>Planned</t>
        </is>
      </c>
      <c r="Q202" t="inlineStr">
        <is>
          <t>Compliance context is the new addition — applies scale-factor effects on area and volume (Y9 spa_05 / mea_07) to safety regulations.</t>
        </is>
      </c>
    </row>
    <row r="203" ht="15" customHeight="1" s="1">
      <c r="A203" t="inlineStr">
        <is>
          <t>y10_spa_01</t>
        </is>
      </c>
      <c r="B203" t="n">
        <v>10</v>
      </c>
      <c r="C203" t="inlineStr">
        <is>
          <t>Space</t>
        </is>
      </c>
      <c r="D203" t="n">
        <v>1</v>
      </c>
      <c r="E203" t="inlineStr">
        <is>
          <t>demonstration_versus_proof</t>
        </is>
      </c>
      <c r="F203" t="inlineStr">
        <is>
          <t>y10_spa_01_demonstration_versus_proof_v2.html</t>
        </is>
      </c>
      <c r="G203" t="inlineStr">
        <is>
          <t>AC9M10SP01</t>
        </is>
      </c>
      <c r="H203" t="inlineStr">
        <is>
          <t>1</t>
        </is>
      </c>
      <c r="I203" t="inlineStr">
        <is>
          <t>Strict</t>
        </is>
      </c>
      <c r="J203" t="inlineStr">
        <is>
          <t>Situations involving angles, distance and direction can be quantified using geometric properties and theorems</t>
        </is>
      </c>
      <c r="K203" t="inlineStr">
        <is>
          <t>Distinguish a practical demonstration (e.g. placing triangles on top of each other to show congruence, tearing-and-arranging interior angles) from a formal proof (a sequence of logically connected statements that establish the result for all cases); recognise the role of assumptions, definitions and previously established theorems in a proof.</t>
        </is>
      </c>
      <c r="L203" t="inlineStr">
        <is>
          <t>auto-marked</t>
        </is>
      </c>
      <c r="M203" t="inlineStr">
        <is>
          <t>y8_space_04</t>
        </is>
      </c>
      <c r="N203" t="inlineStr">
        <is>
          <t>Planned</t>
        </is>
      </c>
      <c r="Q203" t="inlineStr">
        <is>
          <t>Watershed lesson — what makes a proof? The shift from 'I can show it works for this triangle' to 'I have established it for all such triangles' is the threshold concept.</t>
        </is>
      </c>
    </row>
    <row r="204" ht="15" customHeight="1" s="1">
      <c r="A204" t="inlineStr">
        <is>
          <t>y10_spa_02</t>
        </is>
      </c>
      <c r="B204" t="n">
        <v>10</v>
      </c>
      <c r="C204" t="inlineStr">
        <is>
          <t>Space</t>
        </is>
      </c>
      <c r="D204" t="n">
        <v>2</v>
      </c>
      <c r="E204" t="inlineStr">
        <is>
          <t>proofs_using_triangle_congruence</t>
        </is>
      </c>
      <c r="F204" t="inlineStr">
        <is>
          <t>y10_spa_02_proofs_using_triangle_congruence_v2.html</t>
        </is>
      </c>
      <c r="G204" t="inlineStr">
        <is>
          <t>AC9M10SP01</t>
        </is>
      </c>
      <c r="H204" t="inlineStr">
        <is>
          <t>2</t>
        </is>
      </c>
      <c r="I204" t="inlineStr">
        <is>
          <t>Strict</t>
        </is>
      </c>
      <c r="J204" t="inlineStr">
        <is>
          <t>Situations involving angles, distance and direction can be quantified using geometric properties and theorems</t>
        </is>
      </c>
      <c r="K204" t="inlineStr">
        <is>
          <t>Develop formal proofs involving congruent triangles and angle properties; communicate each proof as a sequence of logically connected statements with justifications drawn from definitions, given information and congruence tests (SSS, SAS, ASA, RHS); prove standard results such as the base angles of an isosceles triangle are equal.</t>
        </is>
      </c>
      <c r="L204" t="inlineStr">
        <is>
          <t>auto-marked</t>
        </is>
      </c>
      <c r="M204" t="inlineStr">
        <is>
          <t>y10_spa_01,y8_space_02</t>
        </is>
      </c>
      <c r="N204" t="inlineStr">
        <is>
          <t>Planned</t>
        </is>
      </c>
      <c r="Q204" t="inlineStr">
        <is>
          <t>Cross-strand prereq: Y8 spa_02 (congruence tests). Builds on Y8 spa_04 (deductive properties of quadrilaterals).</t>
        </is>
      </c>
    </row>
    <row r="205" ht="15" customHeight="1" s="1">
      <c r="A205" t="inlineStr">
        <is>
          <t>y10_spa_03</t>
        </is>
      </c>
      <c r="B205" t="n">
        <v>10</v>
      </c>
      <c r="C205" t="inlineStr">
        <is>
          <t>Space</t>
        </is>
      </c>
      <c r="D205" t="n">
        <v>3</v>
      </c>
      <c r="E205" t="inlineStr">
        <is>
          <t>deducing_properties_via_similarity_and_theorems</t>
        </is>
      </c>
      <c r="F205" t="inlineStr">
        <is>
          <t>y10_spa_03_deducing_properties_via_similarity_and_theorems_v2.html</t>
        </is>
      </c>
      <c r="G205" t="inlineStr">
        <is>
          <t>AC9M10SP01</t>
        </is>
      </c>
      <c r="H205" t="inlineStr">
        <is>
          <t>3,4,5</t>
        </is>
      </c>
      <c r="I205" t="inlineStr">
        <is>
          <t>Strict</t>
        </is>
      </c>
      <c r="J205" t="inlineStr">
        <is>
          <t>Situations involving angles, distance and direction can be quantified using geometric properties and theorems</t>
        </is>
      </c>
      <c r="K205" t="inlineStr">
        <is>
          <t>Apply similarity tests in formal proofs and numerical exercises involving plane shapes; use visual proofs to justify solutions; investigate proofs of geometric theorems and apply them to solve spatial problems; use dynamic geometry software to investigate properties such as the shortest path that touches three sides of a rectangle starting and finishing at the same point, and prove the path forms a parallelogram.</t>
        </is>
      </c>
      <c r="L205" t="inlineStr">
        <is>
          <t>auto-marked + open-ended</t>
        </is>
      </c>
      <c r="M205" t="inlineStr">
        <is>
          <t>y10_spa_02,y8_space_03</t>
        </is>
      </c>
      <c r="N205" t="inlineStr">
        <is>
          <t>Planned</t>
        </is>
      </c>
      <c r="Q205" t="inlineStr">
        <is>
          <t>Investigation lesson — practice includes both proof completion and conjecture-with-dynamic-geometry items.</t>
        </is>
      </c>
    </row>
    <row r="206" ht="15" customHeight="1" s="1">
      <c r="A206" t="inlineStr">
        <is>
          <t>y10_spa_04</t>
        </is>
      </c>
      <c r="B206" t="n">
        <v>10</v>
      </c>
      <c r="C206" t="inlineStr">
        <is>
          <t>Space</t>
        </is>
      </c>
      <c r="D206" t="n">
        <v>4</v>
      </c>
      <c r="E206" t="inlineStr">
        <is>
          <t>introducing_networks_and_connectedness</t>
        </is>
      </c>
      <c r="F206" t="inlineStr">
        <is>
          <t>y10_spa_04_introducing_networks_and_connectedness_v2.html</t>
        </is>
      </c>
      <c r="G206" t="inlineStr">
        <is>
          <t>AC9M10SP02</t>
        </is>
      </c>
      <c r="H206" t="inlineStr">
        <is>
          <t>1,2</t>
        </is>
      </c>
      <c r="I206" t="inlineStr">
        <is>
          <t>Strict</t>
        </is>
      </c>
      <c r="J206" t="inlineStr">
        <is>
          <t>Situations involving angles, distance and direction can be quantified using geometric properties and theorems</t>
        </is>
      </c>
      <c r="K206" t="inlineStr">
        <is>
          <t>Investigate how networks (graphs) can model authentic situations — recognise what the nodes (vertices) represent and what the edges represent; describe the connectedness of a network; tackle the Seven Bridges of Königsberg problem — can each bridge be crossed exactly once? — and connect to the concept of degree of a vertex.</t>
        </is>
      </c>
      <c r="L206" t="inlineStr">
        <is>
          <t>auto-marked</t>
        </is>
      </c>
      <c r="N206" t="inlineStr">
        <is>
          <t>Planned</t>
        </is>
      </c>
      <c r="Q206" t="inlineStr">
        <is>
          <t>Watershed lesson — no Y7-9 precedent (Sam-flagged). Graph theory is genuinely new territory. Königsberg is the classical entry point.</t>
        </is>
      </c>
    </row>
    <row r="207" ht="15" customHeight="1" s="1">
      <c r="A207" t="inlineStr">
        <is>
          <t>y10_spa_05</t>
        </is>
      </c>
      <c r="B207" t="n">
        <v>10</v>
      </c>
      <c r="C207" t="inlineStr">
        <is>
          <t>Space</t>
        </is>
      </c>
      <c r="D207" t="n">
        <v>5</v>
      </c>
      <c r="E207" t="inlineStr">
        <is>
          <t>polyhedra_and_eulers_formula</t>
        </is>
      </c>
      <c r="F207" t="inlineStr">
        <is>
          <t>y10_spa_05_polyhedra_and_eulers_formula_v2.html</t>
        </is>
      </c>
      <c r="G207" t="inlineStr">
        <is>
          <t>AC9M10SP02</t>
        </is>
      </c>
      <c r="H207" t="inlineStr">
        <is>
          <t>3</t>
        </is>
      </c>
      <c r="I207" t="inlineStr">
        <is>
          <t>Strict</t>
        </is>
      </c>
      <c r="J207" t="inlineStr">
        <is>
          <t>Situations involving angles, distance and direction can be quantified using geometric properties and theorems</t>
        </is>
      </c>
      <c r="K207" t="inlineStr">
        <is>
          <t>Represent polyhedra as networks using edges, vertices, and interior and exterior faces; record F, V and E for the five Platonic solids in a table and demonstrate Euler's formula F + V = E + 2 holds; predict F for a polyhedron given E and V; relate the formula to map colouring and planarity.</t>
        </is>
      </c>
      <c r="L207" t="inlineStr">
        <is>
          <t>auto-marked</t>
        </is>
      </c>
      <c r="M207" t="inlineStr">
        <is>
          <t>y10_spa_04</t>
        </is>
      </c>
      <c r="N207" t="inlineStr">
        <is>
          <t>Planned</t>
        </is>
      </c>
      <c r="Q207" t="inlineStr">
        <is>
          <t>Cross-strand link: Y7 spa_01 (nets of prisms and pyramids) provides familiarity with the solids. Euler's formula is a famous result — flag for I Do narrative.</t>
        </is>
      </c>
    </row>
    <row r="208" ht="15" customHeight="1" s="1">
      <c r="A208" t="inlineStr">
        <is>
          <t>y10_spa_06</t>
        </is>
      </c>
      <c r="B208" t="n">
        <v>10</v>
      </c>
      <c r="C208" t="inlineStr">
        <is>
          <t>Space</t>
        </is>
      </c>
      <c r="D208" t="n">
        <v>6</v>
      </c>
      <c r="E208" t="inlineStr">
        <is>
          <t>modelling_with_networks</t>
        </is>
      </c>
      <c r="F208" t="inlineStr">
        <is>
          <t>y10_spa_06_modelling_with_networks_v2.html</t>
        </is>
      </c>
      <c r="G208" t="inlineStr">
        <is>
          <t>AC9M10SP02</t>
        </is>
      </c>
      <c r="H208" t="inlineStr">
        <is>
          <t>4,5,6</t>
        </is>
      </c>
      <c r="I208" t="inlineStr">
        <is>
          <t>Strict</t>
        </is>
      </c>
      <c r="J208" t="inlineStr">
        <is>
          <t>Situations involving angles, distance and direction can be quantified using geometric properties and theorems</t>
        </is>
      </c>
      <c r="K208" t="inlineStr">
        <is>
          <t>Represent authentic situations as network diagrams — social networks, intranet/LAN/wireless networks of a home, electrical wiring, rail or air travel networks (London, Paris, Hong Kong), food webs in a simple ecosystem, metabolic networks; represent First Nations Australians' kinship systems using network diagrams and explore the significance of relationships to Country/Place.</t>
        </is>
      </c>
      <c r="L208" t="inlineStr">
        <is>
          <t>matching</t>
        </is>
      </c>
      <c r="M208" t="inlineStr">
        <is>
          <t>y10_spa_04</t>
        </is>
      </c>
      <c r="N208" t="inlineStr">
        <is>
          <t>Planned</t>
        </is>
      </c>
      <c r="Q208" t="inlineStr">
        <is>
          <t>Matching practice — pair context with appropriate network type or feature.</t>
        </is>
      </c>
    </row>
    <row r="209" ht="15" customHeight="1" s="1">
      <c r="A209" t="inlineStr">
        <is>
          <t>y10_spa_07</t>
        </is>
      </c>
      <c r="B209" t="n">
        <v>10</v>
      </c>
      <c r="C209" t="inlineStr">
        <is>
          <t>Space</t>
        </is>
      </c>
      <c r="D209" t="n">
        <v>7</v>
      </c>
      <c r="E209" t="inlineStr">
        <is>
          <t>algorithms_for_network_problems</t>
        </is>
      </c>
      <c r="F209" t="inlineStr">
        <is>
          <t>y10_spa_07_algorithms_for_network_problems_v2.html</t>
        </is>
      </c>
      <c r="G209" t="inlineStr">
        <is>
          <t>AC9M10SP03</t>
        </is>
      </c>
      <c r="H209" t="inlineStr">
        <is>
          <t>2</t>
        </is>
      </c>
      <c r="I209" t="inlineStr">
        <is>
          <t>Strict</t>
        </is>
      </c>
      <c r="J209" t="inlineStr">
        <is>
          <t>Situations involving angles, distance and direction can be quantified using geometric properties and theorems</t>
        </is>
      </c>
      <c r="K209" t="inlineStr">
        <is>
          <t>Apply a computational-thinking approach to problems involving networks — investigate connectedness, coverage and weighted measures (edge weights for distance or cost); design or trace algorithms for choosing the most efficient route on a road network using virtual map software; compare alternative algorithms on the same network.</t>
        </is>
      </c>
      <c r="L209" t="inlineStr">
        <is>
          <t>strategy-MCQ</t>
        </is>
      </c>
      <c r="M209" t="inlineStr">
        <is>
          <t>y10_spa_04</t>
        </is>
      </c>
      <c r="N209" t="inlineStr">
        <is>
          <t>Planned</t>
        </is>
      </c>
      <c r="Q209" t="inlineStr">
        <is>
          <t>Strategy-MCQ matches the decision-tree algorithmic content, mirroring y7_spa_07, y8_spa_07, y9_spa_06/07.</t>
        </is>
      </c>
    </row>
    <row r="210" ht="15" customHeight="1" s="1">
      <c r="A210" t="inlineStr">
        <is>
          <t>y10_spa_08</t>
        </is>
      </c>
      <c r="B210" t="n">
        <v>10</v>
      </c>
      <c r="C210" t="inlineStr">
        <is>
          <t>Space</t>
        </is>
      </c>
      <c r="D210" t="n">
        <v>8</v>
      </c>
      <c r="E210" t="inlineStr">
        <is>
          <t>algorithms_for_spatial_design</t>
        </is>
      </c>
      <c r="F210" t="inlineStr">
        <is>
          <t>y10_spa_08_algorithms_for_spatial_design_v2.html</t>
        </is>
      </c>
      <c r="G210" t="inlineStr">
        <is>
          <t>AC9M10SP03</t>
        </is>
      </c>
      <c r="H210" t="inlineStr">
        <is>
          <t>1,3,4,5</t>
        </is>
      </c>
      <c r="I210" t="inlineStr">
        <is>
          <t>Strict</t>
        </is>
      </c>
      <c r="J210" t="inlineStr">
        <is>
          <t>Situations involving angles, distance and direction can be quantified using geometric properties and theorems</t>
        </is>
      </c>
      <c r="K210" t="inlineStr">
        <is>
          <t>Design and make scale models of three-dimensional objects using digital tools (e.g. 3D-printable puzzle components using tessellations); define and decompose spatial problems and create algorithms — for example, a floor plan that limits congestion at checkouts; test algorithms in pseudocode or flow charts; produce self-similar patterns and validate algorithms with multiple test cases; explore geospatial technologies used by First Nations Australians' communities.</t>
        </is>
      </c>
      <c r="L210" t="inlineStr">
        <is>
          <t>strategy-MCQ</t>
        </is>
      </c>
      <c r="M210" t="inlineStr">
        <is>
          <t>y10_spa_07</t>
        </is>
      </c>
      <c r="N210" t="inlineStr">
        <is>
          <t>Planned</t>
        </is>
      </c>
      <c r="Q210" t="inlineStr">
        <is>
          <t>Strategy-MCQ for the algorithm-choice content. Broad capstone — covers four elaborations spanning 3D modelling, floor planning, fractal generation and First Nations geospatial techniques.</t>
        </is>
      </c>
    </row>
    <row r="211" ht="15" customHeight="1" s="1">
      <c r="A211" t="inlineStr">
        <is>
          <t>y10_sta_01</t>
        </is>
      </c>
      <c r="B211" t="n">
        <v>10</v>
      </c>
      <c r="C211" t="inlineStr">
        <is>
          <t>Statistics</t>
        </is>
      </c>
      <c r="D211" t="n">
        <v>1</v>
      </c>
      <c r="E211" t="inlineStr">
        <is>
          <t>analysing_statistical_claims_in_media</t>
        </is>
      </c>
      <c r="F211" t="inlineStr">
        <is>
          <t>y10_sta_01_analysing_statistical_claims_in_media_v2.html</t>
        </is>
      </c>
      <c r="G211" t="inlineStr">
        <is>
          <t>AC9M10ST01</t>
        </is>
      </c>
      <c r="H211" t="inlineStr">
        <is>
          <t>1,2</t>
        </is>
      </c>
      <c r="I211" t="inlineStr">
        <is>
          <t>Strict</t>
        </is>
      </c>
      <c r="J211" t="inlineStr">
        <is>
          <t>Claims and inferences based on data should acknowledge ethical considerations and potential sources of bias</t>
        </is>
      </c>
      <c r="K211" t="inlineStr">
        <is>
          <t>Identify potentially misleading representations in the media — graphs with broken axes, scales that do not start at zero, nonlinear scales presented as linear; recognise when data is not related to the claim, not representative of the population, or is being used selectively; investigate the source and size of the sample from which the data was collected and assess whether it is appropriately representative.</t>
        </is>
      </c>
      <c r="L211" t="inlineStr">
        <is>
          <t>strategy-MCQ</t>
        </is>
      </c>
      <c r="M211" t="inlineStr">
        <is>
          <t>y9_sta_01</t>
        </is>
      </c>
      <c r="N211" t="inlineStr">
        <is>
          <t>Planned</t>
        </is>
      </c>
      <c r="Q211" t="inlineStr">
        <is>
          <t>Strategy-MCQ suits 'is this claim supported?' question type. Extends Y9 sta_01 (analysing statistical reports) with the Y10 ethical/misleading-representation focus.</t>
        </is>
      </c>
    </row>
    <row r="212" ht="15" customHeight="1" s="1">
      <c r="A212" t="inlineStr">
        <is>
          <t>y10_sta_02</t>
        </is>
      </c>
      <c r="B212" t="n">
        <v>10</v>
      </c>
      <c r="C212" t="inlineStr">
        <is>
          <t>Statistics</t>
        </is>
      </c>
      <c r="D212" t="n">
        <v>2</v>
      </c>
      <c r="E212" t="inlineStr">
        <is>
          <t>ethical_considerations_and_indigenous_data_sovereignty</t>
        </is>
      </c>
      <c r="F212" t="inlineStr">
        <is>
          <t>y10_sta_02_ethical_considerations_and_indigenous_data_sovereignty_v2.html</t>
        </is>
      </c>
      <c r="G212" t="inlineStr">
        <is>
          <t>AC9M10ST01</t>
        </is>
      </c>
      <c r="H212" t="inlineStr">
        <is>
          <t>3,4,5</t>
        </is>
      </c>
      <c r="I212" t="inlineStr">
        <is>
          <t>Strict</t>
        </is>
      </c>
      <c r="J212" t="inlineStr">
        <is>
          <t>Claims and inferences based on data should acknowledge ethical considerations and potential sources of bias</t>
        </is>
      </c>
      <c r="K212" t="inlineStr">
        <is>
          <t>Investigate population rates and discuss ethical considerations when presenting infection rates and cases per head of population; use secondary data to predict the number of people likely to be infected with a flu strain or to experience medication side effects; apply the concept of Indigenous Data Sovereignty to critique and evaluate the Australian Government's Closing the Gap report.</t>
        </is>
      </c>
      <c r="L212" t="inlineStr">
        <is>
          <t>auto-marked + open-ended</t>
        </is>
      </c>
      <c r="M212" t="inlineStr">
        <is>
          <t>y10_sta_01</t>
        </is>
      </c>
      <c r="N212" t="inlineStr">
        <is>
          <t>Planned</t>
        </is>
      </c>
      <c r="Q212" t="inlineStr">
        <is>
          <t>Open-ended modelling — the Indigenous Data Sovereignty content invites discussion responses alongside numeric work.</t>
        </is>
      </c>
    </row>
    <row r="213" ht="15" customHeight="1" s="1">
      <c r="A213" t="inlineStr">
        <is>
          <t>y10_sta_03</t>
        </is>
      </c>
      <c r="B213" t="n">
        <v>10</v>
      </c>
      <c r="C213" t="inlineStr">
        <is>
          <t>Statistics</t>
        </is>
      </c>
      <c r="D213" t="n">
        <v>3</v>
      </c>
      <c r="E213" t="inlineStr">
        <is>
          <t>five_number_summary_and_box_plots</t>
        </is>
      </c>
      <c r="F213" t="inlineStr">
        <is>
          <t>y10_sta_03_five_number_summary_and_box_plots_v2.html</t>
        </is>
      </c>
      <c r="G213" t="inlineStr">
        <is>
          <t>AC9M10ST02</t>
        </is>
      </c>
      <c r="H213" t="inlineStr">
        <is>
          <t>1,4</t>
        </is>
      </c>
      <c r="I213" t="inlineStr">
        <is>
          <t>Strict</t>
        </is>
      </c>
      <c r="J213" t="inlineStr">
        <is>
          <t>Data can be represented in different ways to establish relationships, while considering accuracy and bias</t>
        </is>
      </c>
      <c r="K213" t="inlineStr">
        <is>
          <t>Find the five-number summary (minimum, lower quartile Q1, median, upper quartile Q3, maximum) for a numerical data set; calculate the interquartile range IQR = Q3 − Q1; construct a box plot from the five-number summary; interpret each component of the plot and identify outliers using the 1.5 × IQR convention.</t>
        </is>
      </c>
      <c r="L213" t="inlineStr">
        <is>
          <t>auto-marked</t>
        </is>
      </c>
      <c r="M213" t="inlineStr">
        <is>
          <t>y7_sta_01,y8_sta_03</t>
        </is>
      </c>
      <c r="N213" t="inlineStr">
        <is>
          <t>Planned</t>
        </is>
      </c>
      <c r="Q213" t="inlineStr">
        <is>
          <t>Watershed lesson — no Y7-9 precedent for box plots. Cross-strand prereqs: Y7 sta_01 (median, mode, range) and Y8 sta_03 (sampling methods).</t>
        </is>
      </c>
    </row>
    <row r="214" ht="15" customHeight="1" s="1">
      <c r="A214" t="inlineStr">
        <is>
          <t>y10_sta_04</t>
        </is>
      </c>
      <c r="B214" t="n">
        <v>10</v>
      </c>
      <c r="C214" t="inlineStr">
        <is>
          <t>Statistics</t>
        </is>
      </c>
      <c r="D214" t="n">
        <v>4</v>
      </c>
      <c r="E214" t="inlineStr">
        <is>
          <t>comparing_distributions_with_box_plots</t>
        </is>
      </c>
      <c r="F214" t="inlineStr">
        <is>
          <t>y10_sta_04_comparing_distributions_with_box_plots_v2.html</t>
        </is>
      </c>
      <c r="G214" t="inlineStr">
        <is>
          <t>AC9M10ST02</t>
        </is>
      </c>
      <c r="H214" t="inlineStr">
        <is>
          <t>2,3,5</t>
        </is>
      </c>
      <c r="I214" t="inlineStr">
        <is>
          <t>Strict</t>
        </is>
      </c>
      <c r="J214" t="inlineStr">
        <is>
          <t>Data can be represented in different ways to establish relationships, while considering accuracy and bias</t>
        </is>
      </c>
      <c r="K214" t="inlineStr">
        <is>
          <t>Compare two or more distributions for continuous numerical variables using parallel box plots; discuss shape (symmetry, skew, modality), centre and spread; use digital tools to compare box plots with histograms, cumulative frequency graphs and dot plots of the same data; comment on which display answers a given statistical question most effectively.</t>
        </is>
      </c>
      <c r="L214" t="inlineStr">
        <is>
          <t>auto-marked</t>
        </is>
      </c>
      <c r="M214" t="inlineStr">
        <is>
          <t>y10_sta_03</t>
        </is>
      </c>
      <c r="N214" t="inlineStr">
        <is>
          <t>Planned</t>
        </is>
      </c>
      <c r="Q214" t="inlineStr">
        <is>
          <t>Builds directly on y10_sta_03 — the comparison skill is the practical pay-off of box plot fluency.</t>
        </is>
      </c>
    </row>
    <row r="215" ht="15" customHeight="1" s="1">
      <c r="A215" t="inlineStr">
        <is>
          <t>y10_sta_05</t>
        </is>
      </c>
      <c r="B215" t="n">
        <v>10</v>
      </c>
      <c r="C215" t="inlineStr">
        <is>
          <t>Statistics</t>
        </is>
      </c>
      <c r="D215" t="n">
        <v>5</v>
      </c>
      <c r="E215" t="inlineStr">
        <is>
          <t>constructing_and_interpreting_scatterplots</t>
        </is>
      </c>
      <c r="F215" t="inlineStr">
        <is>
          <t>y10_sta_05_constructing_and_interpreting_scatterplots_v2.html</t>
        </is>
      </c>
      <c r="G215" t="inlineStr">
        <is>
          <t>AC9M10ST03</t>
        </is>
      </c>
      <c r="H215" t="inlineStr">
        <is>
          <t>1,4</t>
        </is>
      </c>
      <c r="I215" t="inlineStr">
        <is>
          <t>Strict</t>
        </is>
      </c>
      <c r="J215" t="inlineStr">
        <is>
          <t>Data can be represented in different ways to establish relationships, while considering accuracy and bias</t>
        </is>
      </c>
      <c r="K215" t="inlineStr">
        <is>
          <t>Construct a scatterplot from a bivariate data set; describe the association between the two numerical variables in terms of direction (positive, negative, none), strength (strong, moderate, weak) and linearity (linear, non-linear); investigate the relationship between two variables of spear throwers used by Australian First Nations Peoples and construct a scatterplot to compare and draw conclusions.</t>
        </is>
      </c>
      <c r="L215" t="inlineStr">
        <is>
          <t>auto-marked</t>
        </is>
      </c>
      <c r="M215" t="inlineStr">
        <is>
          <t>y7_alg_09</t>
        </is>
      </c>
      <c r="N215" t="inlineStr">
        <is>
          <t>Planned</t>
        </is>
      </c>
      <c r="Q215" t="inlineStr">
        <is>
          <t>Watershed lesson — no Y7-9 precedent for bivariate data. Cross-strand prereq: Y7 alg_09 (Cartesian plotting).</t>
        </is>
      </c>
    </row>
    <row r="216" ht="15" customHeight="1" s="1">
      <c r="A216" t="inlineStr">
        <is>
          <t>y10_sta_06</t>
        </is>
      </c>
      <c r="B216" t="n">
        <v>10</v>
      </c>
      <c r="C216" t="inlineStr">
        <is>
          <t>Statistics</t>
        </is>
      </c>
      <c r="D216" t="n">
        <v>6</v>
      </c>
      <c r="E216" t="inlineStr">
        <is>
          <t>line_of_best_fit_and_association_versus_causation</t>
        </is>
      </c>
      <c r="F216" t="inlineStr">
        <is>
          <t>y10_sta_06_line_of_best_fit_and_association_versus_causation_v2.html</t>
        </is>
      </c>
      <c r="G216" t="inlineStr">
        <is>
          <t>AC9M10ST03</t>
        </is>
      </c>
      <c r="H216" t="inlineStr">
        <is>
          <t>2,3</t>
        </is>
      </c>
      <c r="I216" t="inlineStr">
        <is>
          <t>Strict</t>
        </is>
      </c>
      <c r="J216" t="inlineStr">
        <is>
          <t>Data can be represented in different ways to establish relationships, while considering accuracy and bias</t>
        </is>
      </c>
      <c r="K216" t="inlineStr">
        <is>
          <t>Informally draw a line of good fit by eye on a scatterplot; use the line to make predictions and discuss the reliability of those predictions (interpolation versus extrapolation); use statistical evidence to make, justify and critique claims about association between variables in contexts such as climate change, migration, online shopping and social media; distinguish association from cause-and-effect.</t>
        </is>
      </c>
      <c r="L216" t="inlineStr">
        <is>
          <t>auto-marked + open-ended</t>
        </is>
      </c>
      <c r="M216" t="inlineStr">
        <is>
          <t>y10_sta_05</t>
        </is>
      </c>
      <c r="N216" t="inlineStr">
        <is>
          <t>Planned</t>
        </is>
      </c>
      <c r="Q216" t="inlineStr">
        <is>
          <t>Association-vs-causation discussion benefits from open-ended responses alongside the auto-marked line-fitting work.</t>
        </is>
      </c>
    </row>
    <row r="217" ht="15" customHeight="1" s="1">
      <c r="A217" t="inlineStr">
        <is>
          <t>y10_sta_07</t>
        </is>
      </c>
      <c r="B217" t="n">
        <v>10</v>
      </c>
      <c r="C217" t="inlineStr">
        <is>
          <t>Statistics</t>
        </is>
      </c>
      <c r="D217" t="n">
        <v>7</v>
      </c>
      <c r="E217" t="inlineStr">
        <is>
          <t>two_way_tables_for_categorical_relationships</t>
        </is>
      </c>
      <c r="F217" t="inlineStr">
        <is>
          <t>y10_sta_07_two_way_tables_for_categorical_relationships_v2.html</t>
        </is>
      </c>
      <c r="G217" t="inlineStr">
        <is>
          <t>AC9M10ST04</t>
        </is>
      </c>
      <c r="H217" t="inlineStr">
        <is>
          <t>1,2,3</t>
        </is>
      </c>
      <c r="I217" t="inlineStr">
        <is>
          <t>Strict</t>
        </is>
      </c>
      <c r="J217" t="inlineStr">
        <is>
          <t>Data can be represented in different ways to establish relationships, while considering accuracy and bias</t>
        </is>
      </c>
      <c r="K217" t="inlineStr">
        <is>
          <t>Construct two-way tables to record responses to questions involving categorical variables — e.g. a five-point Likert-scale survey crossed against junior versus senior respondents; use percentages and proportions within rows and columns to identify patterns and possible associations between the categorical variables; conduct a school-context investigation such as a litter survey crossed with day-of-week or weather.</t>
        </is>
      </c>
      <c r="L217" t="inlineStr">
        <is>
          <t>auto-marked</t>
        </is>
      </c>
      <c r="M217" t="inlineStr">
        <is>
          <t>y8_pro_02</t>
        </is>
      </c>
      <c r="N217" t="inlineStr">
        <is>
          <t>Planned</t>
        </is>
      </c>
      <c r="Q217" t="inlineStr">
        <is>
          <t>Extends Y8 pro_02 (two-way tables for probability) into the statistical/categorical-association framing. Statistical inference rather than probability calculation.</t>
        </is>
      </c>
    </row>
    <row r="218" ht="15" customHeight="1" s="1">
      <c r="A218" t="inlineStr">
        <is>
          <t>y10_sta_08</t>
        </is>
      </c>
      <c r="B218" t="n">
        <v>10</v>
      </c>
      <c r="C218" t="inlineStr">
        <is>
          <t>Statistics</t>
        </is>
      </c>
      <c r="D218" t="n">
        <v>8</v>
      </c>
      <c r="E218" t="inlineStr">
        <is>
          <t>full_bivariate_statistical_investigation</t>
        </is>
      </c>
      <c r="F218" t="inlineStr">
        <is>
          <t>y10_sta_08_full_bivariate_statistical_investigation_v2.html</t>
        </is>
      </c>
      <c r="G218" t="inlineStr">
        <is>
          <t>AC9M10ST05</t>
        </is>
      </c>
      <c r="H218" t="inlineStr">
        <is>
          <t>1,2,3,4</t>
        </is>
      </c>
      <c r="I218" t="inlineStr">
        <is>
          <t>Strict</t>
        </is>
      </c>
      <c r="J218" t="inlineStr">
        <is>
          <t>Data can be represented in different ways to establish relationships, while considering accuracy and bias</t>
        </is>
      </c>
      <c r="K218" t="inlineStr">
        <is>
          <t>Plan and conduct a full bivariate statistical investigation — design a study that collects bivariate data over time via observation, experiment or measurement; graph, interpret and analyse the data; report findings with explicit acknowledgement of limitations including interpolation and extrapolation; investigate contexts such as the vaccines-immunity relationship, anecdotal claims about climate or housing affordability, and biodiversity changes in Australia before and after colonisation.</t>
        </is>
      </c>
      <c r="L218" t="inlineStr">
        <is>
          <t>auto-marked + open-ended</t>
        </is>
      </c>
      <c r="M218" t="inlineStr">
        <is>
          <t>y10_sta_04,y10_sta_06</t>
        </is>
      </c>
      <c r="N218" t="inlineStr">
        <is>
          <t>Planned</t>
        </is>
      </c>
      <c r="Q218" t="inlineStr">
        <is>
          <t>Capstone — extends Y7 sta_05, Y8 sta_06 and Y9 sta_06 statistical investigation lessons with explicit bivariate-data focus.</t>
        </is>
      </c>
    </row>
    <row r="219" ht="15" customHeight="1" s="1">
      <c r="A219" t="inlineStr">
        <is>
          <t>y10_pro_01</t>
        </is>
      </c>
      <c r="B219" t="n">
        <v>10</v>
      </c>
      <c r="C219" t="inlineStr">
        <is>
          <t>Probability</t>
        </is>
      </c>
      <c r="D219" t="n">
        <v>1</v>
      </c>
      <c r="E219" t="inlineStr">
        <is>
          <t>introducing_conditional_probability_language</t>
        </is>
      </c>
      <c r="F219" t="inlineStr">
        <is>
          <t>y10_pro_01_introducing_conditional_probability_language_v2.html</t>
        </is>
      </c>
      <c r="G219" t="inlineStr">
        <is>
          <t>AC9M10P01</t>
        </is>
      </c>
      <c r="H219" t="inlineStr">
        <is>
          <t>1</t>
        </is>
      </c>
      <c r="I219" t="inlineStr">
        <is>
          <t>Strict</t>
        </is>
      </c>
      <c r="J219" t="inlineStr">
        <is>
          <t>Conditional probability can be described and interpreted for multiple events and applied in real-life contexts</t>
        </is>
      </c>
      <c r="K219" t="inlineStr">
        <is>
          <t>Interpret conditional statements using the language of probability — "if A then B", "the probability of A given B", "of those who…", "knowing that"; use two-way tables and Venn diagrams to read off conditional probabilities directly; identify common mistakes in conditional language (P(A|B) versus P(B|A) confusion).</t>
        </is>
      </c>
      <c r="L219" t="inlineStr">
        <is>
          <t>auto-marked</t>
        </is>
      </c>
      <c r="M219" t="inlineStr">
        <is>
          <t>y8_pro_02</t>
        </is>
      </c>
      <c r="N219" t="inlineStr">
        <is>
          <t>Planned</t>
        </is>
      </c>
      <c r="Q219" t="inlineStr">
        <is>
          <t>Watershed lesson — first formal treatment of conditional probability (Sam-flagged). Builds on Y8 pro_02 (two-way tables and Venn diagrams) and Y9 pro_03 (relative frequency for 'and'/'or' events).</t>
        </is>
      </c>
    </row>
    <row r="220" ht="15" customHeight="1" s="1">
      <c r="A220" t="inlineStr">
        <is>
          <t>y10_pro_02</t>
        </is>
      </c>
      <c r="B220" t="n">
        <v>10</v>
      </c>
      <c r="C220" t="inlineStr">
        <is>
          <t>Probability</t>
        </is>
      </c>
      <c r="D220" t="n">
        <v>2</v>
      </c>
      <c r="E220" t="inlineStr">
        <is>
          <t>dependent_and_independent_events_with_tree_diagrams</t>
        </is>
      </c>
      <c r="F220" t="inlineStr">
        <is>
          <t>y10_pro_02_dependent_and_independent_events_with_tree_diagrams_v2.html</t>
        </is>
      </c>
      <c r="G220" t="inlineStr">
        <is>
          <t>AC9M10P01</t>
        </is>
      </c>
      <c r="H220" t="inlineStr">
        <is>
          <t>2</t>
        </is>
      </c>
      <c r="I220" t="inlineStr">
        <is>
          <t>Strict</t>
        </is>
      </c>
      <c r="J220" t="inlineStr">
        <is>
          <t>Conditional probability can be described and interpreted for multiple events and applied in real-life contexts</t>
        </is>
      </c>
      <c r="K220" t="inlineStr">
        <is>
          <t>Use arrays and tree diagrams to represent, interpret and compare probabilities of dependent and independent events; recognise when two events are independent (P(A and B) = P(A) × P(B)) versus dependent (multiply along branch but probability changes between stages); contrast with-replacement (independent) and without-replacement (dependent) scenarios.</t>
        </is>
      </c>
      <c r="L220" t="inlineStr">
        <is>
          <t>auto-marked</t>
        </is>
      </c>
      <c r="M220" t="inlineStr">
        <is>
          <t>y10_pro_01,y9_pro_02</t>
        </is>
      </c>
      <c r="N220" t="inlineStr">
        <is>
          <t>Planned</t>
        </is>
      </c>
      <c r="Q220" t="inlineStr">
        <is>
          <t>Cross-strand prereq: Y9 pro_02 (tree diagrams with/without replacement) — Y9 work was informal, Y10 formalises the dependent/independent distinction.</t>
        </is>
      </c>
    </row>
    <row r="221" ht="15" customHeight="1" s="1">
      <c r="A221" t="inlineStr">
        <is>
          <t>y10_pro_03</t>
        </is>
      </c>
      <c r="B221" t="n">
        <v>10</v>
      </c>
      <c r="C221" t="inlineStr">
        <is>
          <t>Probability</t>
        </is>
      </c>
      <c r="D221" t="n">
        <v>3</v>
      </c>
      <c r="E221" t="inlineStr">
        <is>
          <t>simulations_with_and_without_replacement</t>
        </is>
      </c>
      <c r="F221" t="inlineStr">
        <is>
          <t>y10_pro_03_simulations_with_and_without_replacement_v2.html</t>
        </is>
      </c>
      <c r="G221" t="inlineStr">
        <is>
          <t>AC9M10P02</t>
        </is>
      </c>
      <c r="H221" t="inlineStr">
        <is>
          <t>1,2</t>
        </is>
      </c>
      <c r="I221" t="inlineStr">
        <is>
          <t>Strict</t>
        </is>
      </c>
      <c r="J221" t="inlineStr">
        <is>
          <t>The likelihood of an event occurring can be affected by another event that has already taken place</t>
        </is>
      </c>
      <c r="K221" t="inlineStr">
        <is>
          <t>Use digital simulations to draw samples of different sizes with and without replacement from a known population; identify the sample size at which the difference between with- and without-replacement methods becomes negligible (rule of thumb: population at least 10× sample size); recognise how event dependence affects the way probability is calculated.</t>
        </is>
      </c>
      <c r="L221" t="inlineStr">
        <is>
          <t>auto-marked + open-ended</t>
        </is>
      </c>
      <c r="M221" t="inlineStr">
        <is>
          <t>y10_pro_02</t>
        </is>
      </c>
      <c r="N221" t="inlineStr">
        <is>
          <t>Planned</t>
        </is>
      </c>
      <c r="Q221" t="inlineStr">
        <is>
          <t>Practical extension of y10_pro_02 — the simulation makes the abstract dependence/independence distinction concrete.</t>
        </is>
      </c>
    </row>
    <row r="222" ht="15" customHeight="1" s="1">
      <c r="A222" t="inlineStr">
        <is>
          <t>y10_pro_04</t>
        </is>
      </c>
      <c r="B222" t="n">
        <v>10</v>
      </c>
      <c r="C222" t="inlineStr">
        <is>
          <t>Probability</t>
        </is>
      </c>
      <c r="D222" t="n">
        <v>4</v>
      </c>
      <c r="E222" t="inlineStr">
        <is>
          <t>counter_intuitive_and_decision_simulations</t>
        </is>
      </c>
      <c r="F222" t="inlineStr">
        <is>
          <t>y10_pro_04_counter_intuitive_and_decision_simulations_v2.html</t>
        </is>
      </c>
      <c r="G222" t="inlineStr">
        <is>
          <t>AC9M10P02</t>
        </is>
      </c>
      <c r="H222" t="inlineStr">
        <is>
          <t>3,4,5</t>
        </is>
      </c>
      <c r="I222" t="inlineStr">
        <is>
          <t>Strict</t>
        </is>
      </c>
      <c r="J222" t="inlineStr">
        <is>
          <t>The likelihood of an event occurring can be affected by another event that has already taken place</t>
        </is>
      </c>
      <c r="K222" t="inlineStr">
        <is>
          <t>Use simulations to gather data on counter-intuitive probability situations — the Monty Hall (three-door) problem and the birthday problem; identify situations in real life where probability simulations support decision-making such as queueing theory, insurance risk pricing and supply-and-demand for a product; use simulation to predict the number of people likely to be infected with a flu strain or virus.</t>
        </is>
      </c>
      <c r="L222" t="inlineStr">
        <is>
          <t>auto-marked + open-ended</t>
        </is>
      </c>
      <c r="M222" t="inlineStr">
        <is>
          <t>y10_pro_03</t>
        </is>
      </c>
      <c r="N222" t="inlineStr">
        <is>
          <t>Planned</t>
        </is>
      </c>
      <c r="Q222" t="inlineStr">
        <is>
          <t>Capstone probability lesson for Y10 — combines famous counter-intuitive problems with applied decision-making contexts. Builds on simulation work from Y7 pro_03, Y8 pro_04, Y9 pro_04.</t>
        </is>
      </c>
    </row>
    <row r="223" ht="15" customHeight="1" s="1"/>
    <row r="224" ht="15" customHeight="1" s="1"/>
    <row r="225" ht="15" customHeight="1" s="1"/>
    <row r="226" ht="15" customHeight="1" s="1"/>
    <row r="227" ht="15" customHeight="1" s="1"/>
    <row r="228" ht="15" customHeight="1" s="1"/>
    <row r="229" ht="15" customHeight="1" s="1"/>
    <row r="230" ht="15" customHeight="1" s="1"/>
    <row r="231" ht="15" customHeight="1" s="1"/>
    <row r="232" ht="15" customHeight="1" s="1"/>
    <row r="233" ht="15" customHeight="1" s="1"/>
    <row r="234" ht="15" customHeight="1" s="1"/>
    <row r="235" ht="15" customHeight="1" s="1"/>
    <row r="236" ht="15" customHeight="1" s="1"/>
    <row r="237" ht="15" customHeight="1" s="1"/>
    <row r="238" ht="15" customHeight="1" s="1"/>
    <row r="239" ht="15" customHeight="1" s="1"/>
    <row r="240" ht="15" customHeight="1" s="1"/>
    <row r="241" ht="15" customHeight="1" s="1"/>
    <row r="242" ht="15" customHeight="1" s="1"/>
    <row r="243" ht="15" customHeight="1" s="1"/>
    <row r="244" ht="15" customHeight="1" s="1"/>
    <row r="245" ht="15" customHeight="1" s="1"/>
    <row r="246" ht="15" customHeight="1" s="1"/>
    <row r="247" ht="15" customHeight="1" s="1"/>
    <row r="248" ht="15" customHeight="1" s="1"/>
    <row r="249" ht="15" customHeight="1" s="1"/>
    <row r="250" ht="15" customHeight="1" s="1"/>
    <row r="251" ht="15" customHeight="1" s="1"/>
    <row r="252" ht="15" customHeight="1" s="1"/>
    <row r="253" ht="15" customHeight="1" s="1"/>
    <row r="254" ht="15" customHeight="1" s="1"/>
    <row r="255" ht="15" customHeight="1" s="1"/>
    <row r="256" ht="15" customHeight="1" s="1"/>
    <row r="257" ht="15" customHeight="1" s="1"/>
    <row r="258" ht="15" customHeight="1" s="1"/>
    <row r="259" ht="15" customHeight="1" s="1"/>
    <row r="260" ht="15" customHeight="1" s="1"/>
    <row r="261" ht="15" customHeight="1" s="1"/>
    <row r="262" ht="15" customHeight="1" s="1"/>
    <row r="263" ht="15" customHeight="1" s="1"/>
    <row r="264" ht="15" customHeight="1" s="1"/>
    <row r="265" ht="15" customHeight="1" s="1"/>
    <row r="266" ht="15" customHeight="1" s="1"/>
    <row r="267" ht="15" customHeight="1" s="1"/>
    <row r="268" ht="15" customHeight="1" s="1"/>
    <row r="269" ht="15" customHeight="1" s="1"/>
    <row r="270" ht="15" customHeight="1" s="1"/>
    <row r="271" ht="15" customHeight="1" s="1"/>
    <row r="272" ht="15" customHeight="1" s="1"/>
    <row r="273" ht="15" customHeight="1" s="1"/>
    <row r="274" ht="15" customHeight="1" s="1"/>
    <row r="275" ht="15" customHeight="1" s="1"/>
    <row r="276" ht="15" customHeight="1" s="1"/>
    <row r="277" ht="15" customHeight="1" s="1"/>
    <row r="278" ht="15" customHeight="1" s="1"/>
    <row r="279" ht="15" customHeight="1" s="1"/>
    <row r="280" ht="15" customHeight="1" s="1"/>
    <row r="281" ht="15" customHeight="1" s="1"/>
    <row r="282" ht="15" customHeight="1" s="1"/>
    <row r="283" ht="15" customHeight="1" s="1"/>
    <row r="284" ht="15" customHeight="1" s="1"/>
    <row r="285" ht="15" customHeight="1" s="1"/>
    <row r="286" ht="15" customHeight="1" s="1"/>
    <row r="287" ht="15" customHeight="1" s="1"/>
    <row r="288" ht="15" customHeight="1" s="1"/>
    <row r="289" ht="15" customHeight="1" s="1"/>
    <row r="290" ht="15" customHeight="1" s="1"/>
    <row r="291" ht="15" customHeight="1" s="1"/>
    <row r="292" ht="15" customHeight="1" s="1"/>
    <row r="293" ht="15" customHeight="1" s="1"/>
    <row r="294" ht="15" customHeight="1" s="1"/>
    <row r="295" ht="15" customHeight="1" s="1"/>
    <row r="296" ht="15" customHeight="1" s="1"/>
    <row r="297" ht="15" customHeight="1" s="1"/>
    <row r="298" ht="15" customHeight="1" s="1"/>
    <row r="299" ht="15" customHeight="1" s="1"/>
    <row r="300" ht="15" customHeight="1" s="1"/>
    <row r="301" ht="15" customHeight="1" s="1"/>
    <row r="302" ht="15" customHeight="1" s="1"/>
    <row r="303" ht="15" customHeight="1" s="1"/>
    <row r="304" ht="15" customHeight="1" s="1"/>
    <row r="305" ht="15" customHeight="1" s="1"/>
    <row r="306" ht="15" customHeight="1" s="1"/>
    <row r="307" ht="15" customHeight="1" s="1"/>
    <row r="308" ht="15" customHeight="1" s="1"/>
    <row r="309" ht="15" customHeight="1" s="1"/>
    <row r="310" ht="15" customHeight="1" s="1"/>
    <row r="311" ht="15" customHeight="1" s="1"/>
    <row r="312" ht="15" customHeight="1" s="1"/>
    <row r="313" ht="15" customHeight="1" s="1"/>
    <row r="314" ht="15" customHeight="1" s="1"/>
    <row r="315" ht="15" customHeight="1" s="1"/>
    <row r="316" ht="15" customHeight="1" s="1"/>
    <row r="317" ht="15" customHeight="1" s="1"/>
    <row r="318" ht="15" customHeight="1" s="1"/>
    <row r="319" ht="15" customHeight="1" s="1"/>
    <row r="320" ht="15" customHeight="1" s="1"/>
    <row r="321" ht="15" customHeight="1" s="1"/>
    <row r="322" ht="15" customHeight="1" s="1"/>
    <row r="323" ht="15" customHeight="1" s="1"/>
    <row r="324" ht="15" customHeight="1" s="1"/>
    <row r="325" ht="15" customHeight="1" s="1"/>
    <row r="326" ht="15" customHeight="1" s="1"/>
    <row r="327" ht="15" customHeight="1" s="1"/>
    <row r="328" ht="15" customHeight="1" s="1"/>
    <row r="329" ht="15" customHeight="1" s="1"/>
    <row r="330" ht="15" customHeight="1" s="1"/>
    <row r="331" ht="15" customHeight="1" s="1"/>
    <row r="332" ht="15" customHeight="1" s="1"/>
    <row r="333" ht="15" customHeight="1" s="1"/>
    <row r="334" ht="15" customHeight="1" s="1"/>
    <row r="335" ht="15" customHeight="1" s="1"/>
    <row r="336" ht="15" customHeight="1" s="1"/>
    <row r="337" ht="15" customHeight="1" s="1"/>
    <row r="338" ht="15" customHeight="1" s="1"/>
    <row r="339" ht="15" customHeight="1" s="1"/>
    <row r="340" ht="15" customHeight="1" s="1"/>
    <row r="341" ht="15" customHeight="1" s="1"/>
    <row r="342" ht="15" customHeight="1" s="1"/>
    <row r="343" ht="15" customHeight="1" s="1"/>
    <row r="344" ht="15" customHeight="1" s="1"/>
    <row r="345" ht="15" customHeight="1" s="1"/>
    <row r="346" ht="15" customHeight="1" s="1"/>
    <row r="347" ht="15" customHeight="1" s="1"/>
    <row r="348" ht="15" customHeight="1" s="1"/>
    <row r="349" ht="15" customHeight="1" s="1"/>
    <row r="350" ht="15" customHeight="1" s="1"/>
    <row r="351" ht="15" customHeight="1" s="1"/>
    <row r="352" ht="15" customHeight="1" s="1"/>
    <row r="353" ht="15" customHeight="1" s="1"/>
    <row r="354" ht="15" customHeight="1" s="1"/>
    <row r="355" ht="15" customHeight="1" s="1"/>
    <row r="356" ht="15" customHeight="1" s="1"/>
    <row r="357" ht="15" customHeight="1" s="1"/>
    <row r="358" ht="15" customHeight="1" s="1"/>
    <row r="359" ht="15" customHeight="1" s="1"/>
    <row r="360" ht="15" customHeight="1" s="1"/>
    <row r="361" ht="15" customHeight="1" s="1"/>
    <row r="362" ht="15" customHeight="1" s="1"/>
    <row r="363" ht="15" customHeight="1" s="1"/>
    <row r="364" ht="15" customHeight="1" s="1"/>
    <row r="365" ht="15" customHeight="1" s="1"/>
    <row r="366" ht="15" customHeight="1" s="1"/>
    <row r="367" ht="15" customHeight="1" s="1"/>
    <row r="368" ht="15" customHeight="1" s="1"/>
    <row r="369" ht="15" customHeight="1" s="1"/>
    <row r="370" ht="15" customHeight="1" s="1"/>
    <row r="371" ht="15" customHeight="1" s="1"/>
    <row r="372" ht="15" customHeight="1" s="1"/>
    <row r="373" ht="15" customHeight="1" s="1"/>
    <row r="374" ht="15" customHeight="1" s="1"/>
    <row r="375" ht="15" customHeight="1" s="1"/>
    <row r="376" ht="15" customHeight="1" s="1"/>
    <row r="377" ht="15" customHeight="1" s="1"/>
    <row r="378" ht="15" customHeight="1" s="1"/>
    <row r="379" ht="15" customHeight="1" s="1"/>
    <row r="380" ht="15" customHeight="1" s="1"/>
    <row r="381" ht="15" customHeight="1" s="1"/>
    <row r="382" ht="15" customHeight="1" s="1"/>
    <row r="383" ht="15" customHeight="1" s="1"/>
    <row r="384" ht="15" customHeight="1" s="1"/>
    <row r="385" ht="15" customHeight="1" s="1"/>
    <row r="386" ht="15" customHeight="1" s="1"/>
    <row r="387" ht="15" customHeight="1" s="1"/>
    <row r="388" ht="15" customHeight="1" s="1"/>
    <row r="389" ht="15" customHeight="1" s="1"/>
    <row r="390" ht="15" customHeight="1" s="1"/>
    <row r="391" ht="15" customHeight="1" s="1"/>
    <row r="392" ht="15" customHeight="1" s="1"/>
    <row r="393" ht="15" customHeight="1" s="1"/>
    <row r="394" ht="15" customHeight="1" s="1"/>
    <row r="395" ht="15" customHeight="1" s="1"/>
    <row r="396" ht="15" customHeight="1" s="1"/>
    <row r="397" ht="15" customHeight="1" s="1"/>
    <row r="398" ht="15" customHeight="1" s="1"/>
    <row r="399" ht="15" customHeight="1" s="1"/>
    <row r="400" ht="15" customHeight="1" s="1"/>
    <row r="401" ht="15" customHeight="1" s="1"/>
    <row r="402" ht="15" customHeight="1" s="1"/>
    <row r="403" ht="15" customHeight="1" s="1"/>
    <row r="404" ht="15" customHeight="1" s="1"/>
    <row r="405" ht="15" customHeight="1" s="1"/>
    <row r="406" ht="15" customHeight="1" s="1"/>
    <row r="407" ht="15" customHeight="1" s="1"/>
    <row r="408" ht="15" customHeight="1" s="1"/>
    <row r="409" ht="15" customHeight="1" s="1"/>
    <row r="410" ht="15" customHeight="1" s="1"/>
    <row r="411" ht="15" customHeight="1" s="1"/>
    <row r="412" ht="15" customHeight="1" s="1"/>
    <row r="413" ht="15" customHeight="1" s="1"/>
    <row r="414" ht="15" customHeight="1" s="1"/>
    <row r="415" ht="15" customHeight="1" s="1"/>
    <row r="416" ht="15" customHeight="1" s="1"/>
    <row r="417" ht="15" customHeight="1" s="1"/>
    <row r="418" ht="15" customHeight="1" s="1"/>
    <row r="419" ht="15" customHeight="1" s="1"/>
    <row r="420" ht="15" customHeight="1" s="1"/>
    <row r="421" ht="15" customHeight="1" s="1"/>
    <row r="422" ht="15" customHeight="1" s="1"/>
    <row r="423" ht="15" customHeight="1" s="1"/>
    <row r="424" ht="15" customHeight="1" s="1"/>
    <row r="425" ht="15" customHeight="1" s="1"/>
    <row r="426" ht="15" customHeight="1" s="1"/>
    <row r="427" ht="15" customHeight="1" s="1"/>
    <row r="428" ht="15" customHeight="1" s="1"/>
    <row r="429" ht="15" customHeight="1" s="1"/>
    <row r="430" ht="15" customHeight="1" s="1"/>
    <row r="431" ht="15" customHeight="1" s="1"/>
    <row r="432" ht="15" customHeight="1" s="1"/>
    <row r="433" ht="15" customHeight="1" s="1"/>
    <row r="434" ht="15" customHeight="1" s="1"/>
    <row r="435" ht="15" customHeight="1" s="1"/>
    <row r="436" ht="15" customHeight="1" s="1"/>
    <row r="437" ht="15" customHeight="1" s="1"/>
    <row r="438" ht="15" customHeight="1" s="1"/>
    <row r="439" ht="15" customHeight="1" s="1"/>
    <row r="440" ht="15" customHeight="1" s="1"/>
    <row r="441" ht="15" customHeight="1" s="1"/>
    <row r="442" ht="15" customHeight="1" s="1"/>
    <row r="443" ht="15" customHeight="1" s="1"/>
    <row r="444" ht="15" customHeight="1" s="1"/>
    <row r="445" ht="15" customHeight="1" s="1"/>
    <row r="446" ht="15" customHeight="1" s="1"/>
    <row r="447" ht="15" customHeight="1" s="1"/>
    <row r="448" ht="15" customHeight="1" s="1"/>
    <row r="449" ht="15" customHeight="1" s="1"/>
    <row r="450" ht="15" customHeight="1" s="1"/>
    <row r="451" ht="15" customHeight="1" s="1"/>
    <row r="452" ht="15" customHeight="1" s="1"/>
    <row r="453" ht="15" customHeight="1" s="1"/>
    <row r="454" ht="15" customHeight="1" s="1"/>
    <row r="455" ht="15" customHeight="1" s="1"/>
    <row r="456" ht="15" customHeight="1" s="1"/>
    <row r="457" ht="15" customHeight="1" s="1"/>
    <row r="458" ht="15" customHeight="1" s="1"/>
    <row r="459" ht="15" customHeight="1" s="1"/>
    <row r="460" ht="15" customHeight="1" s="1"/>
    <row r="461" ht="15" customHeight="1" s="1"/>
    <row r="462" ht="15" customHeight="1" s="1"/>
    <row r="463" ht="15" customHeight="1" s="1"/>
    <row r="464" ht="15" customHeight="1" s="1"/>
    <row r="465" ht="15" customHeight="1" s="1"/>
    <row r="466" ht="15" customHeight="1" s="1"/>
    <row r="467" ht="15" customHeight="1" s="1"/>
    <row r="468" ht="15" customHeight="1" s="1"/>
    <row r="469" ht="15" customHeight="1" s="1"/>
    <row r="470" ht="15" customHeight="1" s="1"/>
    <row r="471" ht="15" customHeight="1" s="1"/>
    <row r="472" ht="15" customHeight="1" s="1"/>
    <row r="473" ht="15" customHeight="1" s="1"/>
    <row r="474" ht="15" customHeight="1" s="1"/>
    <row r="475" ht="15" customHeight="1" s="1"/>
    <row r="476" ht="15" customHeight="1" s="1"/>
    <row r="477" ht="15" customHeight="1" s="1"/>
    <row r="478" ht="15" customHeight="1" s="1"/>
    <row r="479" ht="15" customHeight="1" s="1"/>
    <row r="480" ht="15" customHeight="1" s="1"/>
    <row r="481" ht="15" customHeight="1" s="1"/>
    <row r="482" ht="15" customHeight="1" s="1"/>
    <row r="483" ht="15" customHeight="1" s="1"/>
    <row r="484" ht="15" customHeight="1" s="1"/>
    <row r="485" ht="15" customHeight="1" s="1"/>
    <row r="486" ht="15" customHeight="1" s="1"/>
    <row r="487" ht="15" customHeight="1" s="1"/>
    <row r="488" ht="15" customHeight="1" s="1"/>
    <row r="489" ht="15" customHeight="1" s="1"/>
    <row r="490" ht="15" customHeight="1" s="1"/>
    <row r="491" ht="15" customHeight="1" s="1"/>
    <row r="492" ht="15" customHeight="1" s="1"/>
    <row r="493" ht="15" customHeight="1" s="1"/>
    <row r="494" ht="15" customHeight="1" s="1"/>
    <row r="495" ht="15" customHeight="1" s="1"/>
    <row r="496" ht="15" customHeight="1" s="1"/>
    <row r="497" ht="15" customHeight="1" s="1"/>
    <row r="498" ht="15" customHeight="1" s="1"/>
    <row r="499" ht="15" customHeight="1" s="1"/>
    <row r="500" ht="15" customHeight="1" s="1"/>
    <row r="501" ht="15" customHeight="1" s="1"/>
    <row r="502" ht="15" customHeight="1" s="1"/>
    <row r="503" ht="15" customHeight="1" s="1"/>
    <row r="504" ht="15" customHeight="1" s="1"/>
    <row r="505" ht="15" customHeight="1" s="1"/>
    <row r="506" ht="15" customHeight="1" s="1"/>
    <row r="507" ht="15" customHeight="1" s="1"/>
    <row r="508" ht="15" customHeight="1" s="1"/>
    <row r="509" ht="15" customHeight="1" s="1"/>
    <row r="510" ht="15" customHeight="1" s="1"/>
    <row r="511" ht="15" customHeight="1" s="1"/>
    <row r="512" ht="15" customHeight="1" s="1"/>
    <row r="513" ht="15" customHeight="1" s="1"/>
    <row r="514" ht="15" customHeight="1" s="1"/>
    <row r="515" ht="15" customHeight="1" s="1"/>
    <row r="516" ht="15" customHeight="1" s="1"/>
    <row r="517" ht="15" customHeight="1" s="1"/>
    <row r="518" ht="15" customHeight="1" s="1"/>
    <row r="519" ht="15" customHeight="1" s="1"/>
    <row r="520" ht="15" customHeight="1" s="1"/>
    <row r="521" ht="15" customHeight="1" s="1"/>
    <row r="522" ht="15" customHeight="1" s="1"/>
    <row r="523" ht="15" customHeight="1" s="1"/>
    <row r="524" ht="15" customHeight="1" s="1"/>
    <row r="525" ht="15" customHeight="1" s="1"/>
    <row r="526" ht="15" customHeight="1" s="1"/>
    <row r="527" ht="15" customHeight="1" s="1"/>
    <row r="528" ht="15" customHeight="1" s="1"/>
    <row r="529" ht="15" customHeight="1" s="1"/>
    <row r="530" ht="15" customHeight="1" s="1"/>
    <row r="531" ht="15" customHeight="1" s="1"/>
    <row r="532" ht="15" customHeight="1" s="1"/>
    <row r="533" ht="15" customHeight="1" s="1"/>
    <row r="534" ht="15" customHeight="1" s="1"/>
    <row r="535" ht="15" customHeight="1" s="1"/>
    <row r="536" ht="15" customHeight="1" s="1"/>
    <row r="537" ht="15" customHeight="1" s="1"/>
    <row r="538" ht="15" customHeight="1" s="1"/>
    <row r="539" ht="15" customHeight="1" s="1"/>
    <row r="540" ht="15" customHeight="1" s="1"/>
    <row r="541" ht="15" customHeight="1" s="1"/>
    <row r="542" ht="15" customHeight="1" s="1"/>
    <row r="543" ht="15" customHeight="1" s="1"/>
    <row r="544" ht="15" customHeight="1" s="1"/>
    <row r="545" ht="15" customHeight="1" s="1"/>
    <row r="546" ht="15" customHeight="1" s="1"/>
    <row r="547" ht="15" customHeight="1" s="1"/>
    <row r="548" ht="15" customHeight="1" s="1"/>
    <row r="549" ht="15" customHeight="1" s="1"/>
    <row r="550" ht="15" customHeight="1" s="1"/>
    <row r="551" ht="15" customHeight="1" s="1"/>
    <row r="552" ht="15" customHeight="1" s="1"/>
    <row r="553" ht="15" customHeight="1" s="1"/>
    <row r="554" ht="15" customHeight="1" s="1"/>
    <row r="555" ht="15" customHeight="1" s="1"/>
    <row r="556" ht="15" customHeight="1" s="1"/>
    <row r="557" ht="15" customHeight="1" s="1"/>
    <row r="558" ht="15" customHeight="1" s="1"/>
    <row r="559" ht="15" customHeight="1" s="1"/>
    <row r="560" ht="15" customHeight="1" s="1"/>
    <row r="561" ht="15" customHeight="1" s="1"/>
    <row r="562" ht="15" customHeight="1" s="1"/>
    <row r="563" ht="15" customHeight="1" s="1"/>
    <row r="564" ht="15" customHeight="1" s="1"/>
    <row r="565" ht="15" customHeight="1" s="1"/>
    <row r="566" ht="15" customHeight="1" s="1"/>
    <row r="567" ht="15" customHeight="1" s="1"/>
    <row r="568" ht="15" customHeight="1" s="1"/>
    <row r="569" ht="15" customHeight="1" s="1"/>
    <row r="570" ht="15" customHeight="1" s="1"/>
    <row r="571" ht="15" customHeight="1" s="1"/>
    <row r="572" ht="15" customHeight="1" s="1"/>
    <row r="573" ht="15" customHeight="1" s="1"/>
    <row r="574" ht="15" customHeight="1" s="1"/>
    <row r="575" ht="15" customHeight="1" s="1"/>
    <row r="576" ht="15" customHeight="1" s="1"/>
    <row r="577" ht="15" customHeight="1" s="1"/>
    <row r="578" ht="15" customHeight="1" s="1"/>
    <row r="579" ht="15" customHeight="1" s="1"/>
    <row r="580" ht="15" customHeight="1" s="1"/>
    <row r="581" ht="15" customHeight="1" s="1"/>
    <row r="582" ht="15" customHeight="1" s="1"/>
    <row r="583" ht="15" customHeight="1" s="1"/>
    <row r="584" ht="15" customHeight="1" s="1"/>
    <row r="585" ht="15" customHeight="1" s="1"/>
    <row r="586" ht="15" customHeight="1" s="1"/>
    <row r="587" ht="15" customHeight="1" s="1"/>
    <row r="588" ht="15" customHeight="1" s="1"/>
    <row r="589" ht="15" customHeight="1" s="1"/>
    <row r="590" ht="15" customHeight="1" s="1"/>
    <row r="591" ht="15" customHeight="1" s="1"/>
    <row r="592" ht="15" customHeight="1" s="1"/>
    <row r="593" ht="15" customHeight="1" s="1"/>
    <row r="594" ht="15" customHeight="1" s="1"/>
    <row r="595" ht="15" customHeight="1" s="1"/>
    <row r="596" ht="15" customHeight="1" s="1"/>
    <row r="597" ht="15" customHeight="1" s="1"/>
    <row r="598" ht="15" customHeight="1" s="1"/>
    <row r="599" ht="15" customHeight="1" s="1"/>
    <row r="600" ht="15" customHeight="1" s="1"/>
    <row r="601" ht="15" customHeight="1" s="1"/>
    <row r="602" ht="15" customHeight="1" s="1"/>
    <row r="603" ht="15" customHeight="1" s="1"/>
    <row r="604" ht="15" customHeight="1" s="1"/>
    <row r="605" ht="15" customHeight="1" s="1"/>
    <row r="606" ht="15" customHeight="1" s="1"/>
    <row r="607" ht="15" customHeight="1" s="1"/>
    <row r="608" ht="15" customHeight="1" s="1"/>
    <row r="609" ht="15" customHeight="1" s="1"/>
    <row r="610" ht="15" customHeight="1" s="1"/>
    <row r="611" ht="15" customHeight="1" s="1"/>
    <row r="612" ht="15" customHeight="1" s="1"/>
    <row r="613" ht="15" customHeight="1" s="1"/>
    <row r="614" ht="15" customHeight="1" s="1"/>
    <row r="615" ht="15" customHeight="1" s="1"/>
    <row r="616" ht="15" customHeight="1" s="1"/>
    <row r="617" ht="15" customHeight="1" s="1"/>
    <row r="618" ht="15" customHeight="1" s="1"/>
    <row r="619" ht="15" customHeight="1" s="1"/>
    <row r="620" ht="15" customHeight="1" s="1"/>
    <row r="621" ht="15" customHeight="1" s="1"/>
    <row r="622" ht="15" customHeight="1" s="1"/>
    <row r="623" ht="15" customHeight="1" s="1"/>
    <row r="624" ht="15" customHeight="1" s="1"/>
    <row r="625" ht="15" customHeight="1" s="1"/>
    <row r="626" ht="15" customHeight="1" s="1"/>
    <row r="627" ht="15" customHeight="1" s="1"/>
    <row r="628" ht="15" customHeight="1" s="1"/>
    <row r="629" ht="15" customHeight="1" s="1"/>
    <row r="630" ht="15" customHeight="1" s="1"/>
    <row r="631" ht="15" customHeight="1" s="1"/>
    <row r="632" ht="15" customHeight="1" s="1"/>
    <row r="633" ht="15" customHeight="1" s="1"/>
    <row r="634" ht="15" customHeight="1" s="1"/>
    <row r="635" ht="15" customHeight="1" s="1"/>
    <row r="636" ht="15" customHeight="1" s="1"/>
    <row r="637" ht="15" customHeight="1" s="1"/>
    <row r="638" ht="15" customHeight="1" s="1"/>
    <row r="639" ht="15" customHeight="1" s="1"/>
    <row r="640" ht="15" customHeight="1" s="1"/>
    <row r="641" ht="15" customHeight="1" s="1"/>
    <row r="642" ht="15" customHeight="1" s="1"/>
    <row r="643" ht="15" customHeight="1" s="1"/>
    <row r="644" ht="15" customHeight="1" s="1"/>
    <row r="645" ht="15" customHeight="1" s="1"/>
    <row r="646" ht="15" customHeight="1" s="1"/>
    <row r="647" ht="15" customHeight="1" s="1"/>
    <row r="648" ht="15" customHeight="1" s="1"/>
    <row r="649" ht="15" customHeight="1" s="1"/>
    <row r="650" ht="15" customHeight="1" s="1"/>
    <row r="651" ht="15" customHeight="1" s="1"/>
    <row r="652" ht="15" customHeight="1" s="1"/>
    <row r="653" ht="15" customHeight="1" s="1"/>
    <row r="654" ht="15" customHeight="1" s="1"/>
    <row r="655" ht="15" customHeight="1" s="1"/>
    <row r="656" ht="15" customHeight="1" s="1"/>
    <row r="657" ht="15" customHeight="1" s="1"/>
    <row r="658" ht="15" customHeight="1" s="1"/>
    <row r="659" ht="15" customHeight="1" s="1"/>
    <row r="660" ht="15" customHeight="1" s="1"/>
    <row r="661" ht="15" customHeight="1" s="1"/>
    <row r="662" ht="15" customHeight="1" s="1"/>
    <row r="663" ht="15" customHeight="1" s="1"/>
    <row r="664" ht="15" customHeight="1" s="1"/>
    <row r="665" ht="15" customHeight="1" s="1"/>
    <row r="666" ht="15" customHeight="1" s="1"/>
    <row r="667" ht="15" customHeight="1" s="1"/>
    <row r="668" ht="15" customHeight="1" s="1"/>
    <row r="669" ht="15" customHeight="1" s="1"/>
    <row r="670" ht="15" customHeight="1" s="1"/>
    <row r="671" ht="15" customHeight="1" s="1"/>
    <row r="672" ht="15" customHeight="1" s="1"/>
    <row r="673" ht="15" customHeight="1" s="1"/>
    <row r="674" ht="15" customHeight="1" s="1"/>
    <row r="675" ht="15" customHeight="1" s="1"/>
    <row r="676" ht="15" customHeight="1" s="1"/>
    <row r="677" ht="15" customHeight="1" s="1"/>
    <row r="678" ht="15" customHeight="1" s="1"/>
    <row r="679" ht="15" customHeight="1" s="1"/>
    <row r="680" ht="15" customHeight="1" s="1"/>
    <row r="681" ht="15" customHeight="1" s="1"/>
    <row r="682" ht="15" customHeight="1" s="1"/>
    <row r="683" ht="15" customHeight="1" s="1"/>
    <row r="684" ht="15" customHeight="1" s="1"/>
    <row r="685" ht="15" customHeight="1" s="1"/>
    <row r="686" ht="15" customHeight="1" s="1"/>
    <row r="687" ht="15" customHeight="1" s="1"/>
    <row r="688" ht="15" customHeight="1" s="1"/>
    <row r="689" ht="15" customHeight="1" s="1"/>
    <row r="690" ht="15" customHeight="1" s="1"/>
    <row r="691" ht="15" customHeight="1" s="1"/>
    <row r="692" ht="15" customHeight="1" s="1"/>
    <row r="693" ht="15" customHeight="1" s="1"/>
    <row r="694" ht="15" customHeight="1" s="1"/>
    <row r="695" ht="15" customHeight="1" s="1"/>
    <row r="696" ht="15" customHeight="1" s="1"/>
    <row r="697" ht="15" customHeight="1" s="1"/>
    <row r="698" ht="15" customHeight="1" s="1"/>
    <row r="699" ht="15" customHeight="1" s="1"/>
    <row r="700" ht="15" customHeight="1" s="1"/>
    <row r="701" ht="15" customHeight="1" s="1"/>
    <row r="702" ht="15" customHeight="1" s="1"/>
    <row r="703" ht="15" customHeight="1" s="1"/>
    <row r="704" ht="15" customHeight="1" s="1"/>
    <row r="705" ht="15" customHeight="1" s="1"/>
    <row r="706" ht="15" customHeight="1" s="1"/>
    <row r="707" ht="15" customHeight="1" s="1"/>
    <row r="708" ht="15" customHeight="1" s="1"/>
    <row r="709" ht="15" customHeight="1" s="1"/>
    <row r="710" ht="15" customHeight="1" s="1"/>
    <row r="711" ht="15" customHeight="1" s="1"/>
    <row r="712" ht="15" customHeight="1" s="1"/>
    <row r="713" ht="15" customHeight="1" s="1"/>
    <row r="714" ht="15" customHeight="1" s="1"/>
    <row r="715" ht="15" customHeight="1" s="1"/>
    <row r="716" ht="15" customHeight="1" s="1"/>
    <row r="717" ht="15" customHeight="1" s="1"/>
    <row r="718" ht="15" customHeight="1" s="1"/>
    <row r="719" ht="15" customHeight="1" s="1"/>
    <row r="720" ht="15" customHeight="1" s="1"/>
    <row r="721" ht="15" customHeight="1" s="1"/>
    <row r="722" ht="15" customHeight="1" s="1"/>
    <row r="723" ht="15" customHeight="1" s="1"/>
    <row r="724" ht="15" customHeight="1" s="1"/>
    <row r="725" ht="15" customHeight="1" s="1"/>
    <row r="726" ht="15" customHeight="1" s="1"/>
    <row r="727" ht="15" customHeight="1" s="1"/>
    <row r="728" ht="15" customHeight="1" s="1"/>
    <row r="729" ht="15" customHeight="1" s="1"/>
    <row r="730" ht="15" customHeight="1" s="1"/>
    <row r="731" ht="15" customHeight="1" s="1"/>
    <row r="732" ht="15" customHeight="1" s="1"/>
    <row r="733" ht="15" customHeight="1" s="1"/>
    <row r="734" ht="15" customHeight="1" s="1"/>
    <row r="735" ht="15" customHeight="1" s="1"/>
    <row r="736" ht="15" customHeight="1" s="1"/>
    <row r="737" ht="15" customHeight="1" s="1"/>
    <row r="738" ht="15" customHeight="1" s="1"/>
    <row r="739" ht="15" customHeight="1" s="1"/>
    <row r="740" ht="15" customHeight="1" s="1"/>
    <row r="741" ht="15" customHeight="1" s="1"/>
    <row r="742" ht="15" customHeight="1" s="1"/>
    <row r="743" ht="15" customHeight="1" s="1"/>
    <row r="744" ht="15" customHeight="1" s="1"/>
    <row r="745" ht="15" customHeight="1" s="1"/>
    <row r="746" ht="15" customHeight="1" s="1"/>
    <row r="747" ht="15" customHeight="1" s="1"/>
    <row r="748" ht="15" customHeight="1" s="1"/>
    <row r="749" ht="15" customHeight="1" s="1"/>
    <row r="750" ht="15" customHeight="1" s="1"/>
    <row r="751" ht="15" customHeight="1" s="1"/>
    <row r="752" ht="15" customHeight="1" s="1"/>
    <row r="753" ht="15" customHeight="1" s="1"/>
    <row r="754" ht="15" customHeight="1" s="1"/>
    <row r="755" ht="15" customHeight="1" s="1"/>
    <row r="756" ht="15" customHeight="1" s="1"/>
    <row r="757" ht="15" customHeight="1" s="1"/>
    <row r="758" ht="15" customHeight="1" s="1"/>
    <row r="759" ht="15" customHeight="1" s="1"/>
    <row r="760" ht="15" customHeight="1" s="1"/>
    <row r="761" ht="15" customHeight="1" s="1"/>
    <row r="762" ht="15" customHeight="1" s="1"/>
    <row r="763" ht="15" customHeight="1" s="1"/>
    <row r="764" ht="15" customHeight="1" s="1"/>
    <row r="765" ht="15" customHeight="1" s="1"/>
    <row r="766" ht="15" customHeight="1" s="1"/>
    <row r="767" ht="15" customHeight="1" s="1"/>
    <row r="768" ht="15" customHeight="1" s="1"/>
    <row r="769" ht="15" customHeight="1" s="1"/>
    <row r="770" ht="15" customHeight="1" s="1"/>
    <row r="771" ht="15" customHeight="1" s="1"/>
    <row r="772" ht="15" customHeight="1" s="1"/>
    <row r="773" ht="15" customHeight="1" s="1"/>
    <row r="774" ht="15" customHeight="1" s="1"/>
    <row r="775" ht="15" customHeight="1" s="1"/>
    <row r="776" ht="15" customHeight="1" s="1"/>
    <row r="777" ht="15" customHeight="1" s="1"/>
    <row r="778" ht="15" customHeight="1" s="1"/>
    <row r="779" ht="15" customHeight="1" s="1"/>
    <row r="780" ht="15" customHeight="1" s="1"/>
    <row r="781" ht="15" customHeight="1" s="1"/>
    <row r="782" ht="15" customHeight="1" s="1"/>
    <row r="783" ht="15" customHeight="1" s="1"/>
    <row r="784" ht="15" customHeight="1" s="1"/>
    <row r="785" ht="15" customHeight="1" s="1"/>
    <row r="786" ht="15" customHeight="1" s="1"/>
    <row r="787" ht="15" customHeight="1" s="1"/>
    <row r="788" ht="15" customHeight="1" s="1"/>
    <row r="789" ht="15" customHeight="1" s="1"/>
    <row r="790" ht="15" customHeight="1" s="1"/>
    <row r="791" ht="15" customHeight="1" s="1"/>
    <row r="792" ht="15" customHeight="1" s="1"/>
    <row r="793" ht="15" customHeight="1" s="1"/>
    <row r="794" ht="15" customHeight="1" s="1"/>
    <row r="795" ht="15" customHeight="1" s="1"/>
    <row r="796" ht="15" customHeight="1" s="1"/>
    <row r="797" ht="15" customHeight="1" s="1"/>
    <row r="798" ht="15" customHeight="1" s="1"/>
    <row r="799" ht="15" customHeight="1" s="1"/>
    <row r="800" ht="15" customHeight="1" s="1"/>
    <row r="801" ht="15" customHeight="1" s="1"/>
    <row r="802" ht="15" customHeight="1" s="1"/>
    <row r="803" ht="15" customHeight="1" s="1"/>
    <row r="804" ht="15" customHeight="1" s="1"/>
    <row r="805" ht="15" customHeight="1" s="1"/>
    <row r="806" ht="15" customHeight="1" s="1"/>
    <row r="807" ht="15" customHeight="1" s="1"/>
    <row r="808" ht="15" customHeight="1" s="1"/>
    <row r="809" ht="15" customHeight="1" s="1"/>
    <row r="810" ht="15" customHeight="1" s="1"/>
    <row r="811" ht="15" customHeight="1" s="1"/>
    <row r="812" ht="15" customHeight="1" s="1"/>
    <row r="813" ht="15" customHeight="1" s="1"/>
    <row r="814" ht="15" customHeight="1" s="1"/>
    <row r="815" ht="15" customHeight="1" s="1"/>
    <row r="816" ht="15" customHeight="1" s="1"/>
    <row r="817" ht="15" customHeight="1" s="1"/>
    <row r="818" ht="15" customHeight="1" s="1"/>
    <row r="819" ht="15" customHeight="1" s="1"/>
    <row r="820" ht="15" customHeight="1" s="1"/>
    <row r="821" ht="15" customHeight="1" s="1"/>
    <row r="822" ht="15" customHeight="1" s="1"/>
    <row r="823" ht="15" customHeight="1" s="1"/>
    <row r="824" ht="15" customHeight="1" s="1"/>
    <row r="825" ht="15" customHeight="1" s="1"/>
    <row r="826" ht="15" customHeight="1" s="1"/>
    <row r="827" ht="15" customHeight="1" s="1"/>
    <row r="828" ht="15" customHeight="1" s="1"/>
    <row r="829" ht="15" customHeight="1" s="1"/>
    <row r="830" ht="15" customHeight="1" s="1"/>
    <row r="831" ht="15" customHeight="1" s="1"/>
    <row r="832" ht="15" customHeight="1" s="1"/>
    <row r="833" ht="15" customHeight="1" s="1"/>
    <row r="834" ht="15" customHeight="1" s="1"/>
    <row r="835" ht="15" customHeight="1" s="1"/>
    <row r="836" ht="15" customHeight="1" s="1"/>
    <row r="837" ht="15" customHeight="1" s="1"/>
    <row r="838" ht="15" customHeight="1" s="1"/>
    <row r="839" ht="15" customHeight="1" s="1"/>
    <row r="840" ht="15" customHeight="1" s="1"/>
    <row r="841" ht="15" customHeight="1" s="1"/>
    <row r="842" ht="15" customHeight="1" s="1"/>
    <row r="843" ht="15" customHeight="1" s="1"/>
    <row r="844" ht="15" customHeight="1" s="1"/>
    <row r="845" ht="15" customHeight="1" s="1"/>
    <row r="846" ht="15" customHeight="1" s="1"/>
    <row r="847" ht="15" customHeight="1" s="1"/>
    <row r="848" ht="15" customHeight="1" s="1"/>
    <row r="849" ht="15" customHeight="1" s="1"/>
    <row r="850" ht="15" customHeight="1" s="1"/>
    <row r="851" ht="15" customHeight="1" s="1"/>
    <row r="852" ht="15" customHeight="1" s="1"/>
    <row r="853" ht="15" customHeight="1" s="1"/>
    <row r="854" ht="15" customHeight="1" s="1"/>
    <row r="855" ht="15" customHeight="1" s="1"/>
    <row r="856" ht="15" customHeight="1" s="1"/>
    <row r="857" ht="15" customHeight="1" s="1"/>
    <row r="858" ht="15" customHeight="1" s="1"/>
    <row r="859" ht="15" customHeight="1" s="1"/>
    <row r="860" ht="15" customHeight="1" s="1"/>
    <row r="861" ht="15" customHeight="1" s="1"/>
    <row r="862" ht="15" customHeight="1" s="1"/>
    <row r="863" ht="15" customHeight="1" s="1"/>
    <row r="864" ht="15" customHeight="1" s="1"/>
    <row r="865" ht="15" customHeight="1" s="1"/>
    <row r="866" ht="15" customHeight="1" s="1"/>
    <row r="867" ht="15" customHeight="1" s="1"/>
    <row r="868" ht="15" customHeight="1" s="1"/>
    <row r="869" ht="15" customHeight="1" s="1"/>
    <row r="870" ht="15" customHeight="1" s="1"/>
    <row r="871" ht="15" customHeight="1" s="1"/>
    <row r="872" ht="15" customHeight="1" s="1"/>
    <row r="873" ht="15" customHeight="1" s="1"/>
    <row r="874" ht="15" customHeight="1" s="1"/>
    <row r="875" ht="15" customHeight="1" s="1"/>
    <row r="876" ht="15" customHeight="1" s="1"/>
    <row r="877" ht="15" customHeight="1" s="1"/>
    <row r="878" ht="15" customHeight="1" s="1"/>
    <row r="879" ht="15" customHeight="1" s="1"/>
    <row r="880" ht="15" customHeight="1" s="1"/>
    <row r="881" ht="15" customHeight="1" s="1"/>
    <row r="882" ht="15" customHeight="1" s="1"/>
    <row r="883" ht="15" customHeight="1" s="1"/>
    <row r="884" ht="15" customHeight="1" s="1"/>
    <row r="885" ht="15" customHeight="1" s="1"/>
    <row r="886" ht="15" customHeight="1" s="1"/>
    <row r="887" ht="15" customHeight="1" s="1"/>
    <row r="888" ht="15" customHeight="1" s="1"/>
    <row r="889" ht="15" customHeight="1" s="1"/>
    <row r="890" ht="15" customHeight="1" s="1"/>
    <row r="891" ht="15" customHeight="1" s="1"/>
    <row r="892" ht="15" customHeight="1" s="1"/>
    <row r="893" ht="15" customHeight="1" s="1"/>
    <row r="894" ht="15" customHeight="1" s="1"/>
    <row r="895" ht="15" customHeight="1" s="1"/>
    <row r="896" ht="15" customHeight="1" s="1"/>
    <row r="897" ht="15" customHeight="1" s="1"/>
    <row r="898" ht="15" customHeight="1" s="1"/>
    <row r="899" ht="15" customHeight="1" s="1"/>
    <row r="900" ht="15" customHeight="1" s="1"/>
    <row r="901" ht="15" customHeight="1" s="1"/>
    <row r="902" ht="15" customHeight="1" s="1"/>
    <row r="903" ht="15" customHeight="1" s="1"/>
    <row r="904" ht="15" customHeight="1" s="1"/>
    <row r="905" ht="15" customHeight="1" s="1"/>
    <row r="906" ht="15" customHeight="1" s="1"/>
    <row r="907" ht="15" customHeight="1" s="1"/>
    <row r="908" ht="15" customHeight="1" s="1"/>
    <row r="909" ht="15" customHeight="1" s="1"/>
    <row r="910" ht="15" customHeight="1" s="1"/>
    <row r="911" ht="15" customHeight="1" s="1"/>
    <row r="912" ht="15" customHeight="1" s="1"/>
    <row r="913" ht="15" customHeight="1" s="1"/>
    <row r="914" ht="15" customHeight="1" s="1"/>
    <row r="915" ht="15" customHeight="1" s="1"/>
    <row r="916" ht="15" customHeight="1" s="1"/>
    <row r="917" ht="15" customHeight="1" s="1"/>
    <row r="918" ht="15" customHeight="1" s="1"/>
    <row r="919" ht="15" customHeight="1" s="1"/>
    <row r="920" ht="15" customHeight="1" s="1"/>
    <row r="921" ht="15" customHeight="1" s="1"/>
    <row r="922" ht="15" customHeight="1" s="1"/>
    <row r="923" ht="15" customHeight="1" s="1"/>
    <row r="924" ht="15" customHeight="1" s="1"/>
    <row r="925" ht="15" customHeight="1" s="1"/>
    <row r="926" ht="15" customHeight="1" s="1"/>
    <row r="927" ht="15" customHeight="1" s="1"/>
    <row r="928" ht="15" customHeight="1" s="1"/>
    <row r="929" ht="15" customHeight="1" s="1"/>
    <row r="930" ht="15" customHeight="1" s="1"/>
    <row r="931" ht="15" customHeight="1" s="1"/>
    <row r="932" ht="15" customHeight="1" s="1"/>
    <row r="933" ht="15" customHeight="1" s="1"/>
    <row r="934" ht="15" customHeight="1" s="1"/>
    <row r="935" ht="15" customHeight="1" s="1"/>
    <row r="936" ht="15" customHeight="1" s="1"/>
    <row r="937" ht="15" customHeight="1" s="1"/>
    <row r="938" ht="15" customHeight="1" s="1"/>
    <row r="939" ht="15" customHeight="1" s="1"/>
    <row r="940" ht="15" customHeight="1" s="1"/>
    <row r="941" ht="15" customHeight="1" s="1"/>
    <row r="942" ht="15" customHeight="1" s="1"/>
    <row r="943" ht="15" customHeight="1" s="1"/>
    <row r="944" ht="15" customHeight="1" s="1"/>
    <row r="945" ht="15" customHeight="1" s="1"/>
    <row r="946" ht="15" customHeight="1" s="1"/>
    <row r="947" ht="15" customHeight="1" s="1"/>
    <row r="948" ht="15" customHeight="1" s="1"/>
    <row r="949" ht="15" customHeight="1" s="1"/>
    <row r="950" ht="15" customHeight="1" s="1"/>
    <row r="951" ht="15" customHeight="1" s="1"/>
    <row r="952" ht="15" customHeight="1" s="1"/>
    <row r="953" ht="15" customHeight="1" s="1"/>
    <row r="954" ht="15" customHeight="1" s="1"/>
    <row r="955" ht="15" customHeight="1" s="1"/>
    <row r="956" ht="15" customHeight="1" s="1"/>
    <row r="957" ht="15" customHeight="1" s="1"/>
    <row r="958" ht="15" customHeight="1" s="1"/>
    <row r="959" ht="15" customHeight="1" s="1"/>
    <row r="960" ht="15" customHeight="1" s="1"/>
    <row r="961" ht="15" customHeight="1" s="1"/>
    <row r="962" ht="15" customHeight="1" s="1"/>
    <row r="963" ht="15" customHeight="1" s="1"/>
    <row r="964" ht="15" customHeight="1" s="1"/>
    <row r="965" ht="15" customHeight="1" s="1"/>
    <row r="966" ht="15" customHeight="1" s="1"/>
    <row r="967" ht="15" customHeight="1" s="1"/>
    <row r="968" ht="15" customHeight="1" s="1"/>
    <row r="969" ht="15" customHeight="1" s="1"/>
    <row r="970" ht="15" customHeight="1" s="1"/>
    <row r="971" ht="15" customHeight="1" s="1"/>
    <row r="972" ht="15" customHeight="1" s="1"/>
    <row r="973" ht="15" customHeight="1" s="1"/>
    <row r="974" ht="15" customHeight="1" s="1"/>
    <row r="975" ht="15" customHeight="1" s="1"/>
    <row r="976" ht="15" customHeight="1" s="1"/>
    <row r="977" ht="15" customHeight="1" s="1"/>
    <row r="978" ht="15" customHeight="1" s="1"/>
    <row r="979" ht="15" customHeight="1" s="1"/>
    <row r="980" ht="15" customHeight="1" s="1"/>
    <row r="981" ht="15" customHeight="1" s="1"/>
    <row r="982" ht="15" customHeight="1" s="1"/>
    <row r="983" ht="15" customHeight="1" s="1"/>
    <row r="984" ht="15" customHeight="1" s="1"/>
    <row r="985" ht="15" customHeight="1" s="1"/>
    <row r="986" ht="15" customHeight="1" s="1"/>
    <row r="987" ht="15" customHeight="1" s="1"/>
    <row r="988" ht="15" customHeight="1" s="1"/>
    <row r="989" ht="15" customHeight="1" s="1"/>
    <row r="990" ht="15" customHeight="1" s="1"/>
    <row r="991" ht="15" customHeight="1" s="1"/>
    <row r="992" ht="15" customHeight="1" s="1"/>
    <row r="993" ht="15" customHeight="1" s="1"/>
    <row r="994" ht="15" customHeight="1" s="1"/>
    <row r="995" ht="15" customHeight="1" s="1"/>
    <row r="996" ht="15" customHeight="1" s="1"/>
    <row r="997" ht="15" customHeight="1" s="1"/>
    <row r="998" ht="15" customHeight="1" s="1"/>
    <row r="999" ht="15" customHeight="1" s="1"/>
    <row r="1000" ht="15" customHeight="1" s="1"/>
  </sheetData>
  <autoFilter ref="A1:P20"/>
  <conditionalFormatting sqref="M2:M20">
    <cfRule type="cellIs" priority="2" operator="equal" dxfId="4">
      <formula>"Planned"</formula>
    </cfRule>
    <cfRule type="cellIs" priority="3" operator="equal" dxfId="3">
      <formula>"Drafted"</formula>
    </cfRule>
    <cfRule type="cellIs" priority="4" operator="equal" dxfId="2">
      <formula>"Generated"</formula>
    </cfRule>
    <cfRule type="cellIs" priority="5" operator="equal" dxfId="1">
      <formula>"Reviewed"</formula>
    </cfRule>
    <cfRule type="cellIs" priority="6" operator="equal" dxfId="0">
      <formula>"Published"</formula>
    </cfRule>
  </conditionalFormatting>
  <dataValidations count="4">
    <dataValidation sqref="M2:M202 M206:M1000" showDropDown="0" showInputMessage="0" showErrorMessage="0" allowBlank="1" type="list">
      <formula1>"Planned,Drafted,Generated,Reviewed,Published"</formula1>
      <formula2>0</formula2>
    </dataValidation>
    <dataValidation sqref="C2:C1000" showDropDown="0" showInputMessage="0" showErrorMessage="0" allowBlank="0" type="list">
      <formula1>"Number,Algebra,Measurement,Space,Statistics,Probability"</formula1>
      <formula2>0</formula2>
    </dataValidation>
    <dataValidation sqref="B2:B1000" showDropDown="0" showInputMessage="0" showErrorMessage="0" allowBlank="0" type="list">
      <formula1>"7,8,9,10"</formula1>
      <formula2>0</formula2>
    </dataValidation>
    <dataValidation sqref="I2:I1000" showDropDown="0" showInputMessage="0" showErrorMessage="0" allowBlank="1" type="list">
      <formula1>"Strict,Implied,Strict + cross-tag,Adapted (SA),Created (SA)"</formula1>
      <formula2>0</formula2>
    </dataValidation>
  </dataValidation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F403"/>
  <sheetViews>
    <sheetView zoomScaleNormal="100" workbookViewId="0">
      <pane ySplit="1" topLeftCell="A2" activePane="bottomLeft" state="frozen"/>
      <selection pane="bottomLeft" activeCell="A1" sqref="A1"/>
    </sheetView>
  </sheetViews>
  <sheetFormatPr baseColWidth="8" defaultColWidth="8.6328125" defaultRowHeight="14.5"/>
  <cols>
    <col width="12" customWidth="1" style="1" min="1" max="1"/>
    <col width="6" customWidth="1" style="1" min="2" max="2"/>
    <col width="13" customWidth="1" style="1" min="3" max="3"/>
    <col width="80" customWidth="1" style="1" min="4" max="4"/>
    <col width="8" customWidth="1" style="1" min="5" max="5"/>
    <col width="100" customWidth="1" style="1" min="6" max="6"/>
  </cols>
  <sheetData>
    <row r="1" ht="41.25" customHeight="1" s="1">
      <c r="A1" s="8" t="inlineStr">
        <is>
          <t>Code</t>
        </is>
      </c>
      <c r="B1" s="8" t="inlineStr">
        <is>
          <t>Year</t>
        </is>
      </c>
      <c r="C1" s="8" t="inlineStr">
        <is>
          <t>Strand</t>
        </is>
      </c>
      <c r="D1" s="8" t="inlineStr">
        <is>
          <t>Descriptor</t>
        </is>
      </c>
      <c r="E1" s="8" t="inlineStr">
        <is>
          <t>Elaboration #</t>
        </is>
      </c>
      <c r="F1" s="8" t="inlineStr">
        <is>
          <t>Elaboration text</t>
        </is>
      </c>
    </row>
    <row r="2" ht="23.25" customHeight="1" s="1">
      <c r="A2" s="9" t="inlineStr">
        <is>
          <t>AC9M7N01</t>
        </is>
      </c>
      <c r="B2" s="9" t="n">
        <v>7</v>
      </c>
      <c r="C2" s="9" t="inlineStr">
        <is>
          <t>Number</t>
        </is>
      </c>
      <c r="D2" s="9" t="inlineStr">
        <is>
          <t>describe the relationship between perfect square numbers and square roots, and use squares of numbers and square roots of perfect square numbers to solve problems</t>
        </is>
      </c>
      <c r="E2" s="9" t="n">
        <v>1</v>
      </c>
      <c r="F2" s="9" t="inlineStr">
        <is>
          <t>investigating squares of natural numbers from one to 20, and connecting them to visual representations such as dots arranged in a square pattern</t>
        </is>
      </c>
    </row>
    <row r="3" ht="23.25" customHeight="1" s="1">
      <c r="A3" s="9" t="inlineStr">
        <is>
          <t>AC9M7N01</t>
        </is>
      </c>
      <c r="B3" s="9" t="n">
        <v>7</v>
      </c>
      <c r="C3" s="9" t="inlineStr">
        <is>
          <t>Number</t>
        </is>
      </c>
      <c r="D3" s="9" t="inlineStr">
        <is>
          <t>describe the relationship between perfect square numbers and square roots, and use squares of numbers and square roots of perfect square numbers to solve problems</t>
        </is>
      </c>
      <c r="E3" s="9" t="n">
        <v>2</v>
      </c>
      <c r="F3" s="9" t="inlineStr">
        <is>
          <t>using the square and square root notation, and the distributive property and area diagrams to calculate the squares of two-digit numbers; for example, 43²=(40+3)²=40²+2×40×3+3²=1600+240+9=1849</t>
        </is>
      </c>
    </row>
    <row r="4" ht="23.25" customHeight="1" s="1">
      <c r="A4" s="9" t="inlineStr">
        <is>
          <t>AC9M7N01</t>
        </is>
      </c>
      <c r="B4" s="9" t="n">
        <v>7</v>
      </c>
      <c r="C4" s="9" t="inlineStr">
        <is>
          <t>Number</t>
        </is>
      </c>
      <c r="D4" s="9" t="inlineStr">
        <is>
          <t>describe the relationship between perfect square numbers and square roots, and use squares of numbers and square roots of perfect square numbers to solve problems</t>
        </is>
      </c>
      <c r="E4" s="9" t="n">
        <v>3</v>
      </c>
      <c r="F4" s="9" t="inlineStr">
        <is>
          <t>determining between which 2 consecutive natural numbers the square root of a given number lies; for example, 43 is between the square numbers 36 and 49 so √(43) is between √(36) and √(49) and therefore between 6 and 7</t>
        </is>
      </c>
    </row>
    <row r="5" ht="23.25" customHeight="1" s="1">
      <c r="A5" s="9" t="inlineStr">
        <is>
          <t>AC9M7N01</t>
        </is>
      </c>
      <c r="B5" s="9" t="n">
        <v>7</v>
      </c>
      <c r="C5" s="9" t="inlineStr">
        <is>
          <t>Number</t>
        </is>
      </c>
      <c r="D5" s="9" t="inlineStr">
        <is>
          <t>describe the relationship between perfect square numbers and square roots, and use squares of numbers and square roots of perfect square numbers to solve problems</t>
        </is>
      </c>
      <c r="E5" s="9" t="n">
        <v>4</v>
      </c>
      <c r="F5" s="9" t="inlineStr">
        <is>
          <t>generating a list of perfect square numbers and describing any emerging patterns; for example, the last digit of perfect square numbers, or the difference between consecutive square numbers, and recognising the constant second difference</t>
        </is>
      </c>
    </row>
    <row r="6" ht="23.25" customHeight="1" s="1">
      <c r="A6" s="9" t="inlineStr">
        <is>
          <t>AC9M7N01</t>
        </is>
      </c>
      <c r="B6" s="9" t="n">
        <v>7</v>
      </c>
      <c r="C6" s="9" t="inlineStr">
        <is>
          <t>Number</t>
        </is>
      </c>
      <c r="D6" s="9" t="inlineStr">
        <is>
          <t>describe the relationship between perfect square numbers and square roots, and use squares of numbers and square roots of perfect square numbers to solve problems</t>
        </is>
      </c>
      <c r="E6" s="9" t="n">
        <v>5</v>
      </c>
      <c r="F6" s="9" t="inlineStr">
        <is>
          <t>using the relationship between perfect square numbers and their square roots to determine the perimeter of a square tiled floor using square tiles; for example, an area of floor with 144 square tiles has a perimeter of 48 tile lengths</t>
        </is>
      </c>
    </row>
    <row r="7" ht="23.25" customHeight="1" s="1">
      <c r="A7" s="9" t="inlineStr">
        <is>
          <t>AC9M7N02</t>
        </is>
      </c>
      <c r="B7" s="9" t="n">
        <v>7</v>
      </c>
      <c r="C7" s="9" t="inlineStr">
        <is>
          <t>Number</t>
        </is>
      </c>
      <c r="D7" s="9" t="inlineStr">
        <is>
          <t>represent natural numbers as products of powers of prime numbers using exponent notation</t>
        </is>
      </c>
      <c r="E7" s="9" t="n">
        <v>1</v>
      </c>
      <c r="F7" s="9" t="inlineStr">
        <is>
          <t>applying knowledge of factors to strategies for expressing natural numbers as products of powers of prime factors, such as repeated division by prime factors or creating factor trees; for example, 48=6×8=2×3×2×2×2=3¹×2⁴=3×2⁴</t>
        </is>
      </c>
    </row>
    <row r="8" ht="23.25" customHeight="1" s="1">
      <c r="A8" s="9" t="inlineStr">
        <is>
          <t>AC9M7N02</t>
        </is>
      </c>
      <c r="B8" s="9" t="n">
        <v>7</v>
      </c>
      <c r="C8" s="9" t="inlineStr">
        <is>
          <t>Number</t>
        </is>
      </c>
      <c r="D8" s="9" t="inlineStr">
        <is>
          <t>represent natural numbers as products of powers of prime numbers using exponent notation</t>
        </is>
      </c>
      <c r="E8" s="9" t="n">
        <v>2</v>
      </c>
      <c r="F8" s="9" t="inlineStr">
        <is>
          <t>developing familiarity with the sequence 1, 2, 4, 8, 16, 32, 64, 128, 256, 512 and powers of 2; the sequence 1, 3, 9, 27, 81, 243, 729 and powers of 3; and the sequence 1, 5, 25, 125, 625 and powers of 5</t>
        </is>
      </c>
    </row>
    <row r="9" ht="23.25" customHeight="1" s="1">
      <c r="A9" s="9" t="inlineStr">
        <is>
          <t>AC9M7N02</t>
        </is>
      </c>
      <c r="B9" s="9" t="n">
        <v>7</v>
      </c>
      <c r="C9" s="9" t="inlineStr">
        <is>
          <t>Number</t>
        </is>
      </c>
      <c r="D9" s="9" t="inlineStr">
        <is>
          <t>represent natural numbers as products of powers of prime numbers using exponent notation</t>
        </is>
      </c>
      <c r="E9" s="9" t="n">
        <v>3</v>
      </c>
      <c r="F9" s="9" t="inlineStr">
        <is>
          <t>solving problems involving lowest common multiples and greatest common divisors (highest common factors) for pairs of natural numbers by comparing their prime factorisation</t>
        </is>
      </c>
    </row>
    <row r="10" ht="15" customHeight="1" s="1">
      <c r="A10" s="9" t="inlineStr">
        <is>
          <t>AC9M7N03</t>
        </is>
      </c>
      <c r="B10" s="9" t="n">
        <v>7</v>
      </c>
      <c r="C10" s="9" t="inlineStr">
        <is>
          <t>Number</t>
        </is>
      </c>
      <c r="D10" s="9" t="inlineStr">
        <is>
          <t>represent natural numbers in expanded notation using place value and powers of 10</t>
        </is>
      </c>
      <c r="E10" s="9" t="n">
        <v>1</v>
      </c>
      <c r="F10" s="9" t="inlineStr">
        <is>
          <t>investigating exponent notation for powers of 10 such as “one hundred thousand” is 100 000=10×10×10×10×10=10⁵</t>
        </is>
      </c>
    </row>
    <row r="11" ht="15" customHeight="1" s="1">
      <c r="A11" s="9" t="inlineStr">
        <is>
          <t>AC9M7N03</t>
        </is>
      </c>
      <c r="B11" s="9" t="n">
        <v>7</v>
      </c>
      <c r="C11" s="9" t="inlineStr">
        <is>
          <t>Number</t>
        </is>
      </c>
      <c r="D11" s="9" t="inlineStr">
        <is>
          <t>represent natural numbers in expanded notation using place value and powers of 10</t>
        </is>
      </c>
      <c r="E11" s="9" t="n">
        <v>2</v>
      </c>
      <c r="F11" s="9" t="inlineStr">
        <is>
          <t>relating the sequences 10, 100, 1000, 10 000 … and 101, 102, 103, 104 ...</t>
        </is>
      </c>
    </row>
    <row r="12" ht="23.25" customHeight="1" s="1">
      <c r="A12" s="9" t="inlineStr">
        <is>
          <t>AC9M7N03</t>
        </is>
      </c>
      <c r="B12" s="9" t="n">
        <v>7</v>
      </c>
      <c r="C12" s="9" t="inlineStr">
        <is>
          <t>Number</t>
        </is>
      </c>
      <c r="D12" s="9" t="inlineStr">
        <is>
          <t>represent natural numbers in expanded notation using place value and powers of 10</t>
        </is>
      </c>
      <c r="E12" s="9" t="n">
        <v>3</v>
      </c>
      <c r="F12" s="9" t="inlineStr">
        <is>
          <t>applying and explaining the connections between place value and expanded notations; for example, 7000=7×10³ and 3750=3×10³+7×10²+5×10¹</t>
        </is>
      </c>
    </row>
    <row r="13" ht="23.25" customHeight="1" s="1">
      <c r="A13" s="9" t="inlineStr">
        <is>
          <t>AC9M7N04</t>
        </is>
      </c>
      <c r="B13" s="9" t="n">
        <v>7</v>
      </c>
      <c r="C13" s="9" t="inlineStr">
        <is>
          <t>Number</t>
        </is>
      </c>
      <c r="D13" s="9" t="inlineStr">
        <is>
          <t>find equivalent representations of rational numbers and represent rational numbers on a number line</t>
        </is>
      </c>
      <c r="E13" s="9" t="n">
        <v>1</v>
      </c>
      <c r="F13" s="9" t="inlineStr">
        <is>
          <t>investigating equivalence of fractions using common multiples and a fraction wall, diagrams or a number line to show that a fraction such as 2/3 is equivalent to 4/6 and 6/9 and therefore 2/3 &lt; 5/6</t>
        </is>
      </c>
    </row>
    <row r="14" ht="15" customHeight="1" s="1">
      <c r="A14" s="9" t="inlineStr">
        <is>
          <t>AC9M7N04</t>
        </is>
      </c>
      <c r="B14" s="9" t="n">
        <v>7</v>
      </c>
      <c r="C14" s="9" t="inlineStr">
        <is>
          <t>Number</t>
        </is>
      </c>
      <c r="D14" s="9" t="inlineStr">
        <is>
          <t>find equivalent representations of rational numbers and represent rational numbers on a number line</t>
        </is>
      </c>
      <c r="E14" s="9" t="n">
        <v>2</v>
      </c>
      <c r="F14" s="9" t="inlineStr">
        <is>
          <t>expressing a fraction in simplest form using common divisors</t>
        </is>
      </c>
    </row>
    <row r="15" ht="23.25" customHeight="1" s="1">
      <c r="A15" s="9" t="inlineStr">
        <is>
          <t>AC9M7N04</t>
        </is>
      </c>
      <c r="B15" s="9" t="n">
        <v>7</v>
      </c>
      <c r="C15" s="9" t="inlineStr">
        <is>
          <t>Number</t>
        </is>
      </c>
      <c r="D15" s="9" t="inlineStr">
        <is>
          <t>find equivalent representations of rational numbers and represent rational numbers on a number line</t>
        </is>
      </c>
      <c r="E15" s="9" t="n">
        <v>3</v>
      </c>
      <c r="F15" s="9" t="inlineStr">
        <is>
          <t>applying and explaining the equivalence between fraction, decimal and percentage representations of rational numbers; for example, 16%, 0.16, 16/100 and 4/25, using manipulatives, number lines or diagrams</t>
        </is>
      </c>
    </row>
    <row r="16" ht="23.25" customHeight="1" s="1">
      <c r="A16" s="9" t="inlineStr">
        <is>
          <t>AC9M7N04</t>
        </is>
      </c>
      <c r="B16" s="9" t="n">
        <v>7</v>
      </c>
      <c r="C16" s="9" t="inlineStr">
        <is>
          <t>Number</t>
        </is>
      </c>
      <c r="D16" s="9" t="inlineStr">
        <is>
          <t>find equivalent representations of rational numbers and represent rational numbers on a number line</t>
        </is>
      </c>
      <c r="E16" s="9" t="n">
        <v>4</v>
      </c>
      <c r="F16" s="9" t="inlineStr">
        <is>
          <t>representing positive and negative fractions and mixed numerals on various intervals of the real number line, including intervals that are not symmetrical about zero</t>
        </is>
      </c>
    </row>
    <row r="17" ht="23.25" customHeight="1" s="1">
      <c r="A17" s="9" t="inlineStr">
        <is>
          <t>AC9M7N05</t>
        </is>
      </c>
      <c r="B17" s="9" t="n">
        <v>7</v>
      </c>
      <c r="C17" s="9" t="inlineStr">
        <is>
          <t>Number</t>
        </is>
      </c>
      <c r="D17" s="9" t="inlineStr">
        <is>
          <t>round decimals to a given accuracy appropriate to the context and use appropriate rounding and estimation to check the reasonableness of solutions</t>
        </is>
      </c>
      <c r="E17" s="9" t="n">
        <v>1</v>
      </c>
      <c r="F17" s="9" t="inlineStr">
        <is>
          <t>identifying the interval between a pair of consecutive integers that includes a given rational number</t>
        </is>
      </c>
    </row>
    <row r="18" ht="23.25" customHeight="1" s="1">
      <c r="A18" s="9" t="inlineStr">
        <is>
          <t>AC9M7N05</t>
        </is>
      </c>
      <c r="B18" s="9" t="n">
        <v>7</v>
      </c>
      <c r="C18" s="9" t="inlineStr">
        <is>
          <t>Number</t>
        </is>
      </c>
      <c r="D18" s="9" t="inlineStr">
        <is>
          <t>round decimals to a given accuracy appropriate to the context and use appropriate rounding and estimation to check the reasonableness of solutions</t>
        </is>
      </c>
      <c r="E18" s="9" t="n">
        <v>2</v>
      </c>
      <c r="F18" s="9" t="inlineStr">
        <is>
          <t>choosing and applying conventions for rounding correct to a specified number of decimal places based upon the context</t>
        </is>
      </c>
    </row>
    <row r="19" ht="34.5" customHeight="1" s="1">
      <c r="A19" s="9" t="inlineStr">
        <is>
          <t>AC9M7N05</t>
        </is>
      </c>
      <c r="B19" s="9" t="n">
        <v>7</v>
      </c>
      <c r="C19" s="9" t="inlineStr">
        <is>
          <t>Number</t>
        </is>
      </c>
      <c r="D19" s="9" t="inlineStr">
        <is>
          <t>round decimals to a given accuracy appropriate to the context and use appropriate rounding and estimation to check the reasonableness of solutions</t>
        </is>
      </c>
      <c r="E19" s="9" t="n">
        <v>3</v>
      </c>
      <c r="F19" s="9" t="inlineStr">
        <is>
          <t>checking that the accuracy of rounding is suitable for context and purpose, such as the amount of paint required and cost estimate for renovating a house; for example, purchasing 2 litres of paint to paint the bedroom even though 1.89 litres is the exact answer or estimating a renovation budget to the nearest $100</t>
        </is>
      </c>
    </row>
    <row r="20" ht="23.25" customHeight="1" s="1">
      <c r="A20" s="9" t="inlineStr">
        <is>
          <t>AC9M7N06</t>
        </is>
      </c>
      <c r="B20" s="9" t="n">
        <v>7</v>
      </c>
      <c r="C20" s="9" t="inlineStr">
        <is>
          <t>Number</t>
        </is>
      </c>
      <c r="D20" s="9" t="inlineStr">
        <is>
          <t>use the 4 operations with positive rational numbers including fractions, decimals and percentages to solve problems using efficient calculation strategies</t>
        </is>
      </c>
      <c r="E20" s="9" t="n">
        <v>1</v>
      </c>
      <c r="F20" s="9" t="inlineStr">
        <is>
          <t>solving addition and subtraction problems involving fractions and decimals; for example, using rectangular arrays with dimensions equal to the denominators, algebra tiles, digital tools or informal jottings</t>
        </is>
      </c>
    </row>
    <row r="21" ht="23.25" customHeight="1" s="1">
      <c r="A21" s="9" t="inlineStr">
        <is>
          <t>AC9M7N06</t>
        </is>
      </c>
      <c r="B21" s="9" t="n">
        <v>7</v>
      </c>
      <c r="C21" s="9" t="inlineStr">
        <is>
          <t>Number</t>
        </is>
      </c>
      <c r="D21" s="9" t="inlineStr">
        <is>
          <t>use the 4 operations with positive rational numbers including fractions, decimals and percentages to solve problems using efficient calculation strategies</t>
        </is>
      </c>
      <c r="E21" s="9" t="n">
        <v>2</v>
      </c>
      <c r="F21" s="9" t="inlineStr">
        <is>
          <t>choosing an appropriate numerical representation for a problem so that efficient computations can be made, such as 12.5%, 1/8, 0.125 or 125/1000</t>
        </is>
      </c>
    </row>
    <row r="22" ht="34.5" customHeight="1" s="1">
      <c r="A22" s="9" t="inlineStr">
        <is>
          <t>AC9M7N06</t>
        </is>
      </c>
      <c r="B22" s="9" t="n">
        <v>7</v>
      </c>
      <c r="C22" s="9" t="inlineStr">
        <is>
          <t>Number</t>
        </is>
      </c>
      <c r="D22" s="9" t="inlineStr">
        <is>
          <t>use the 4 operations with positive rational numbers including fractions, decimals and percentages to solve problems using efficient calculation strategies</t>
        </is>
      </c>
      <c r="E22" s="9" t="n">
        <v>3</v>
      </c>
      <c r="F22" s="9" t="inlineStr">
        <is>
          <t>developing efficient strategies with appropriate use of the commutative and associative properties, place value, patterning, and multiplication facts to solve multiplication and division problems involving fractions and decimals; for example, using the commutative property to calculate 2/3 of 1/2 giving 1/2 of 2/3=1/3</t>
        </is>
      </c>
    </row>
    <row r="23" ht="23.25" customHeight="1" s="1">
      <c r="A23" s="9" t="inlineStr">
        <is>
          <t>AC9M7N06</t>
        </is>
      </c>
      <c r="B23" s="9" t="n">
        <v>7</v>
      </c>
      <c r="C23" s="9" t="inlineStr">
        <is>
          <t>Number</t>
        </is>
      </c>
      <c r="D23" s="9" t="inlineStr">
        <is>
          <t>use the 4 operations with positive rational numbers including fractions, decimals and percentages to solve problems using efficient calculation strategies</t>
        </is>
      </c>
      <c r="E23" s="9" t="n">
        <v>4</v>
      </c>
      <c r="F23" s="9" t="inlineStr">
        <is>
          <t>solving multiplicative problems involving fractions and decimals using fraction walls, rectangular arrays, algebra tiles, calculators or informal jottings</t>
        </is>
      </c>
    </row>
    <row r="24" ht="23.25" customHeight="1" s="1">
      <c r="A24" s="9" t="inlineStr">
        <is>
          <t>AC9M7N06</t>
        </is>
      </c>
      <c r="B24" s="9" t="n">
        <v>7</v>
      </c>
      <c r="C24" s="9" t="inlineStr">
        <is>
          <t>Number</t>
        </is>
      </c>
      <c r="D24" s="9" t="inlineStr">
        <is>
          <t>use the 4 operations with positive rational numbers including fractions, decimals and percentages to solve problems using efficient calculation strategies</t>
        </is>
      </c>
      <c r="E24" s="9" t="n">
        <v>5</v>
      </c>
      <c r="F24" s="9" t="inlineStr">
        <is>
          <t>developing efficient strategies with appropriate use of the commutative and associative properties, regrouping or partitioning to solve additive problems involving fractions and decimals</t>
        </is>
      </c>
    </row>
    <row r="25" ht="45.75" customHeight="1" s="1">
      <c r="A25" s="9" t="inlineStr">
        <is>
          <t>AC9M7N06</t>
        </is>
      </c>
      <c r="B25" s="9" t="n">
        <v>7</v>
      </c>
      <c r="C25" s="9" t="inlineStr">
        <is>
          <t>Number</t>
        </is>
      </c>
      <c r="D25" s="9" t="inlineStr">
        <is>
          <t>use the 4 operations with positive rational numbers including fractions, decimals and percentages to solve problems using efficient calculation strategies</t>
        </is>
      </c>
      <c r="E25" s="9" t="n">
        <v>6</v>
      </c>
      <c r="F25" s="9" t="inlineStr">
        <is>
          <t>carry out calculations to solve problems using the representation that makes computations efficient such as 12.5% of 96 is more efficiently calculated as 1/8 of 96, including contexts such as comparing land-use by calculating the total local municipal area set aside for parkland or manufacturing and retail, the amount of protein in daily food intake across several days, or increases/decreases in energy accounts each account cycle</t>
        </is>
      </c>
    </row>
    <row r="26" ht="23.25" customHeight="1" s="1">
      <c r="A26" s="9" t="inlineStr">
        <is>
          <t>AC9M7N07</t>
        </is>
      </c>
      <c r="B26" s="9" t="n">
        <v>7</v>
      </c>
      <c r="C26" s="9" t="inlineStr">
        <is>
          <t>Number</t>
        </is>
      </c>
      <c r="D26" s="9" t="inlineStr">
        <is>
          <t>compare, order and solve problems involving addition and subtraction of integers</t>
        </is>
      </c>
      <c r="E26" s="9" t="n">
        <v>1</v>
      </c>
      <c r="F26" s="9" t="inlineStr">
        <is>
          <t>using less-than and greater-than notation in expressions when comparing and ordering integers; for example, negative 5 is less than positive 2 and can be represented as (-5)&lt;(+2); (-3)&gt;(-6)</t>
        </is>
      </c>
    </row>
    <row r="27" ht="15" customHeight="1" s="1">
      <c r="A27" s="9" t="inlineStr">
        <is>
          <t>AC9M7N07</t>
        </is>
      </c>
      <c r="B27" s="9" t="n">
        <v>7</v>
      </c>
      <c r="C27" s="9" t="inlineStr">
        <is>
          <t>Number</t>
        </is>
      </c>
      <c r="D27" s="9" t="inlineStr">
        <is>
          <t>compare, order and solve problems involving addition and subtraction of integers</t>
        </is>
      </c>
      <c r="E27" s="9" t="n">
        <v>2</v>
      </c>
      <c r="F27" s="9" t="inlineStr">
        <is>
          <t>discussing language such as “addition”, “subtraction”, “magnitude”, “difference”, “sign” and synonyms of these terms</t>
        </is>
      </c>
    </row>
    <row r="28" ht="15" customHeight="1" s="1">
      <c r="A28" s="9" t="inlineStr">
        <is>
          <t>AC9M7N07</t>
        </is>
      </c>
      <c r="B28" s="9" t="n">
        <v>7</v>
      </c>
      <c r="C28" s="9" t="inlineStr">
        <is>
          <t>Number</t>
        </is>
      </c>
      <c r="D28" s="9" t="inlineStr">
        <is>
          <t>compare, order and solve problems involving addition and subtraction of integers</t>
        </is>
      </c>
      <c r="E28" s="9" t="n">
        <v>3</v>
      </c>
      <c r="F28" s="9" t="inlineStr">
        <is>
          <t>ordering, adding and subtracting integers using a number line</t>
        </is>
      </c>
    </row>
    <row r="29" ht="23.25" customHeight="1" s="1">
      <c r="A29" s="9" t="inlineStr">
        <is>
          <t>AC9M7N08</t>
        </is>
      </c>
      <c r="B29" s="9" t="n">
        <v>7</v>
      </c>
      <c r="C29" s="9" t="inlineStr">
        <is>
          <t>Number</t>
        </is>
      </c>
      <c r="D29" s="9" t="inlineStr">
        <is>
          <t>recognise, represent and solve problems involving ratios</t>
        </is>
      </c>
      <c r="E29" s="9" t="n">
        <v>1</v>
      </c>
      <c r="F29" s="9" t="inlineStr">
        <is>
          <t>using diagrams, physical or virtual materials to represent ratios, recognising that ratios express the quantitative relationship between 2 or more groups; for example, using counters or coloured beads to show the ratios 1:4 and 1:1:2</t>
        </is>
      </c>
    </row>
    <row r="30" ht="23.25" customHeight="1" s="1">
      <c r="A30" s="9" t="inlineStr">
        <is>
          <t>AC9M7N08</t>
        </is>
      </c>
      <c r="B30" s="9" t="n">
        <v>7</v>
      </c>
      <c r="C30" s="9" t="inlineStr">
        <is>
          <t>Number</t>
        </is>
      </c>
      <c r="D30" s="9" t="inlineStr">
        <is>
          <t>recognise, represent and solve problems involving ratios</t>
        </is>
      </c>
      <c r="E30" s="9" t="n">
        <v>2</v>
      </c>
      <c r="F30" s="9" t="inlineStr">
        <is>
          <t>using fractions to solve ratio problems involving comparison of quantities and considering part-part and part-whole relations; for example, dividing a set into the ratio 1:2 by determining the number of parts as 3</t>
        </is>
      </c>
    </row>
    <row r="31" ht="15" customHeight="1" s="1">
      <c r="A31" s="9" t="inlineStr">
        <is>
          <t>AC9M7N08</t>
        </is>
      </c>
      <c r="B31" s="9" t="n">
        <v>7</v>
      </c>
      <c r="C31" s="9" t="inlineStr">
        <is>
          <t>Number</t>
        </is>
      </c>
      <c r="D31" s="9" t="inlineStr">
        <is>
          <t>recognise, represent and solve problems involving ratios</t>
        </is>
      </c>
      <c r="E31" s="9" t="n">
        <v>3</v>
      </c>
      <c r="F31" s="9" t="inlineStr">
        <is>
          <t>sharing quantities in a given ratio; for example, sharing an amount of money in a given ratio, such as sharing $20 in the ratio 2:3</t>
        </is>
      </c>
    </row>
    <row r="32" ht="23.25" customHeight="1" s="1">
      <c r="A32" s="9" t="inlineStr">
        <is>
          <t>AC9M7N08</t>
        </is>
      </c>
      <c r="B32" s="9" t="n">
        <v>7</v>
      </c>
      <c r="C32" s="9" t="inlineStr">
        <is>
          <t>Number</t>
        </is>
      </c>
      <c r="D32" s="9" t="inlineStr">
        <is>
          <t>recognise, represent and solve problems involving ratios</t>
        </is>
      </c>
      <c r="E32" s="9" t="n">
        <v>4</v>
      </c>
      <c r="F32" s="9" t="inlineStr">
        <is>
          <t>applying ratios to realistic and meaningful contexts; for example, mixing 500 millilitres of a liquid with a concentration of 1:4 means 1/5 concentrate and 4/5 water so, 0.2 of 500 millilitres is concentrate and 0.8 of 500 millilitres is water; interpreting results in context</t>
        </is>
      </c>
    </row>
    <row r="33" ht="45.75" customHeight="1" s="1">
      <c r="A33" s="9" t="inlineStr">
        <is>
          <t>AC9M7N09</t>
        </is>
      </c>
      <c r="B33" s="9" t="n">
        <v>7</v>
      </c>
      <c r="C33" s="9" t="inlineStr">
        <is>
          <t>Number</t>
        </is>
      </c>
      <c r="D33" s="9" t="inlineStr">
        <is>
          <t>use mathematical modelling to solve practical problems involving rational numbers and percentages, including financial contexts; formulate problems, choosing representations and efficient calculation strategies, using digital tools as appropriate; interpret and communicate solutions in terms of the situation, justifying choices made about the representation</t>
        </is>
      </c>
      <c r="E33" s="9" t="n">
        <v>1</v>
      </c>
      <c r="F33" s="9" t="inlineStr">
        <is>
          <t>modelling additive situations involving positive and negative quantities; for example, a lift travelling up and down floors in a high-rise apartment where the ground floor is interpreted as zero; in geography when determining altitude above and below sea level</t>
        </is>
      </c>
    </row>
    <row r="34" ht="45.75" customHeight="1" s="1">
      <c r="A34" s="9" t="inlineStr">
        <is>
          <t>AC9M7N09</t>
        </is>
      </c>
      <c r="B34" s="9" t="n">
        <v>7</v>
      </c>
      <c r="C34" s="9" t="inlineStr">
        <is>
          <t>Number</t>
        </is>
      </c>
      <c r="D34" s="9" t="inlineStr">
        <is>
          <t>use mathematical modelling to solve practical problems involving rational numbers and percentages, including financial contexts; formulate problems, choosing representations and efficient calculation strategies, using digital tools as appropriate; interpret and communicate solutions in terms of the situation, justifying choices made about the representation</t>
        </is>
      </c>
      <c r="E34" s="9" t="n">
        <v>2</v>
      </c>
      <c r="F34" s="9" t="inlineStr">
        <is>
          <t>modelling contexts involving proportion, such as the proportion of students attending the school disco, proportion of bottle cost to recycling refund, proportion of school site that is green space, 55% of Year 7 students attended the end of term function or 23% of the school population voted yes to a change of school uniform; interpreting and communicating answers in terms of the context of the situation</t>
        </is>
      </c>
    </row>
    <row r="35" ht="45.75" customHeight="1" s="1">
      <c r="A35" s="9" t="inlineStr">
        <is>
          <t>AC9M7N09</t>
        </is>
      </c>
      <c r="B35" s="9" t="n">
        <v>7</v>
      </c>
      <c r="C35" s="9" t="inlineStr">
        <is>
          <t>Number</t>
        </is>
      </c>
      <c r="D35" s="9" t="inlineStr">
        <is>
          <t>use mathematical modelling to solve practical problems involving rational numbers and percentages, including financial contexts; formulate problems, choosing representations and efficient calculation strategies, using digital tools as appropriate; interpret and communicate solutions in terms of the situation, justifying choices made about the representation</t>
        </is>
      </c>
      <c r="E35" s="9" t="n">
        <v>3</v>
      </c>
      <c r="F35" s="9" t="inlineStr">
        <is>
          <t>modelling financial problems involving profit and loss, credits and debits, gains and losses; for example, holding a fundraising sausage sizzle and determining whether the event made a percentage profit or loss</t>
        </is>
      </c>
    </row>
    <row r="36" ht="45.75" customHeight="1" s="1">
      <c r="A36" s="9" t="inlineStr">
        <is>
          <t>AC9M7N09</t>
        </is>
      </c>
      <c r="B36" s="9" t="n">
        <v>7</v>
      </c>
      <c r="C36" s="9" t="inlineStr">
        <is>
          <t>Number</t>
        </is>
      </c>
      <c r="D36" s="9" t="inlineStr">
        <is>
          <t>use mathematical modelling to solve practical problems involving rational numbers and percentages, including financial contexts; formulate problems, choosing representations and efficient calculation strategies, using digital tools as appropriate; interpret and communicate solutions in terms of the situation, justifying choices made about the representation</t>
        </is>
      </c>
      <c r="E36" s="9" t="n">
        <v>4</v>
      </c>
      <c r="F36" s="9" t="inlineStr">
        <is>
          <t>using mathematical modelling to investigate the proportion of land mass/area of Australian First Nations Peoples’ traditional grain belt compared with Australia’s current grain belt</t>
        </is>
      </c>
    </row>
    <row r="37" ht="23.25" customHeight="1" s="1">
      <c r="A37" s="9" t="inlineStr">
        <is>
          <t>AC9M7A01</t>
        </is>
      </c>
      <c r="B37" s="9" t="n">
        <v>7</v>
      </c>
      <c r="C37" s="9" t="inlineStr">
        <is>
          <t>Algebra</t>
        </is>
      </c>
      <c r="D37" s="9" t="inlineStr">
        <is>
          <t>recognise and use variables to represent everyday formulas algebraically and substitute values into formulas to determine an unknown</t>
        </is>
      </c>
      <c r="E37" s="9" t="n">
        <v>1</v>
      </c>
      <c r="F37" s="9" t="inlineStr">
        <is>
          <t>linking variables to attributes and measures being modelled when using formulas, such as the area of a rectangle is equal to the length x width as A=l×w; using p=6g+b to describe a total of points expressed as goals (worth 6 points) and behinds (worth one point)</t>
        </is>
      </c>
    </row>
    <row r="38" ht="23.25" customHeight="1" s="1">
      <c r="A38" s="9" t="inlineStr">
        <is>
          <t>AC9M7A01</t>
        </is>
      </c>
      <c r="B38" s="9" t="n">
        <v>7</v>
      </c>
      <c r="C38" s="9" t="inlineStr">
        <is>
          <t>Algebra</t>
        </is>
      </c>
      <c r="D38" s="9" t="inlineStr">
        <is>
          <t>recognise and use variables to represent everyday formulas algebraically and substitute values into formulas to determine an unknown</t>
        </is>
      </c>
      <c r="E38" s="9" t="n">
        <v>2</v>
      </c>
      <c r="F38" s="9" t="inlineStr">
        <is>
          <t>interpreting and using formulas obtained from other sources; for example, maximum heart rates and target heart rates for moderate exercise</t>
        </is>
      </c>
    </row>
    <row r="39" ht="34.5" customHeight="1" s="1">
      <c r="A39" s="9" t="inlineStr">
        <is>
          <t>AC9M7A01</t>
        </is>
      </c>
      <c r="B39" s="9" t="n">
        <v>7</v>
      </c>
      <c r="C39" s="9" t="inlineStr">
        <is>
          <t>Algebra</t>
        </is>
      </c>
      <c r="D39" s="9" t="inlineStr">
        <is>
          <t>recognise and use variables to represent everyday formulas algebraically and substitute values into formulas to determine an unknown</t>
        </is>
      </c>
      <c r="E39" s="9" t="n">
        <v>3</v>
      </c>
      <c r="F39" s="9" t="inlineStr">
        <is>
          <t>substituting numerical values for variables when using formulas and calculating the value of an unknown in practical situations; for example, calculating weekly wage W given base wage b and overtime hours h at 1.5 times rate r, W=b+1.5 ×h ×r, using values for mass m and volume v to determine density d of a substance where d=m/v</t>
        </is>
      </c>
    </row>
    <row r="40" ht="23.25" customHeight="1" s="1">
      <c r="A40" s="9" t="inlineStr">
        <is>
          <t>AC9M7A01</t>
        </is>
      </c>
      <c r="B40" s="9" t="n">
        <v>7</v>
      </c>
      <c r="C40" s="9" t="inlineStr">
        <is>
          <t>Algebra</t>
        </is>
      </c>
      <c r="D40" s="9" t="inlineStr">
        <is>
          <t>recognise and use variables to represent everyday formulas algebraically and substitute values into formulas to determine an unknown</t>
        </is>
      </c>
      <c r="E40" s="9" t="n">
        <v>4</v>
      </c>
      <c r="F40" s="9" t="inlineStr">
        <is>
          <t>using everyday formulas and their application to contexts on Country/Place, investigating the relationships between variables</t>
        </is>
      </c>
    </row>
    <row r="41" ht="23.25" customHeight="1" s="1">
      <c r="A41" s="9" t="inlineStr">
        <is>
          <t>AC9M7A02</t>
        </is>
      </c>
      <c r="B41" s="9" t="n">
        <v>7</v>
      </c>
      <c r="C41" s="9" t="inlineStr">
        <is>
          <t>Algebra</t>
        </is>
      </c>
      <c r="D41" s="9" t="inlineStr">
        <is>
          <t>formulate algebraic expressions using constants, variables, operations and brackets</t>
        </is>
      </c>
      <c r="E41" s="9" t="n">
        <v>1</v>
      </c>
      <c r="F41" s="9" t="inlineStr">
        <is>
          <t>generalising arithmetic expressions to algebraic expressions involving constants, variables, operations and brackets; for example, 7+7+7=3×7, x+x+x=3×x noting that 3x includes implied multiplication and recognising the difference between 3x+4 and 3(x+4)</t>
        </is>
      </c>
    </row>
    <row r="42" ht="23.25" customHeight="1" s="1">
      <c r="A42" s="9" t="inlineStr">
        <is>
          <t>AC9M7A02</t>
        </is>
      </c>
      <c r="B42" s="9" t="n">
        <v>7</v>
      </c>
      <c r="C42" s="9" t="inlineStr">
        <is>
          <t>Algebra</t>
        </is>
      </c>
      <c r="D42" s="9" t="inlineStr">
        <is>
          <t>formulate algebraic expressions using constants, variables, operations and brackets</t>
        </is>
      </c>
      <c r="E42" s="9" t="n">
        <v>2</v>
      </c>
      <c r="F42" s="9" t="inlineStr">
        <is>
          <t>formulating algebraic expressions that represent mathematical relationships; for example, translating from words to symbols, “think of a number” type of activities</t>
        </is>
      </c>
    </row>
    <row r="43" ht="34.5" customHeight="1" s="1">
      <c r="A43" s="9" t="inlineStr">
        <is>
          <t>AC9M7A02</t>
        </is>
      </c>
      <c r="B43" s="9" t="n">
        <v>7</v>
      </c>
      <c r="C43" s="9" t="inlineStr">
        <is>
          <t>Algebra</t>
        </is>
      </c>
      <c r="D43" s="9" t="inlineStr">
        <is>
          <t>formulate algebraic expressions using constants, variables, operations and brackets</t>
        </is>
      </c>
      <c r="E43" s="9" t="n">
        <v>3</v>
      </c>
      <c r="F43" s="9" t="inlineStr">
        <is>
          <t>recognising and applying the concept of variable as something that can change in value, investigating the relationships between variables, and the application to processes on Country/Place, including how cultural expressions of First Nations Australians, such as storytelling, communicate mathematical relationships that can be represented as mathematical expressions</t>
        </is>
      </c>
    </row>
    <row r="44" ht="23.25" customHeight="1" s="1">
      <c r="A44" s="9" t="inlineStr">
        <is>
          <t>AC9M7A03</t>
        </is>
      </c>
      <c r="B44" s="9" t="n">
        <v>7</v>
      </c>
      <c r="C44" s="9" t="inlineStr">
        <is>
          <t>Algebra</t>
        </is>
      </c>
      <c r="D44" s="9" t="inlineStr">
        <is>
          <t>solve one-variable linear equations with natural number solutions; verify the solution by substitution</t>
        </is>
      </c>
      <c r="E44" s="9" t="n">
        <v>1</v>
      </c>
      <c r="F44" s="9" t="inlineStr">
        <is>
          <t>recognising that solving an equation is a process of determining a value that makes the equation true; using substitution to determine whether a given number is a solution to an equation or not</t>
        </is>
      </c>
    </row>
    <row r="45" ht="15" customHeight="1" s="1">
      <c r="A45" s="9" t="inlineStr">
        <is>
          <t>AC9M7A03</t>
        </is>
      </c>
      <c r="B45" s="9" t="n">
        <v>7</v>
      </c>
      <c r="C45" s="9" t="inlineStr">
        <is>
          <t>Algebra</t>
        </is>
      </c>
      <c r="D45" s="9" t="inlineStr">
        <is>
          <t>solve one-variable linear equations with natural number solutions; verify the solution by substitution</t>
        </is>
      </c>
      <c r="E45" s="9" t="n">
        <v>2</v>
      </c>
      <c r="F45" s="9" t="inlineStr">
        <is>
          <t>solving equations using concrete materials, the balance model, and backtracking, explaining the process</t>
        </is>
      </c>
    </row>
    <row r="46" ht="15" customHeight="1" s="1">
      <c r="A46" s="9" t="inlineStr">
        <is>
          <t>AC9M7A03</t>
        </is>
      </c>
      <c r="B46" s="9" t="n">
        <v>7</v>
      </c>
      <c r="C46" s="9" t="inlineStr">
        <is>
          <t>Algebra</t>
        </is>
      </c>
      <c r="D46" s="9" t="inlineStr">
        <is>
          <t>solve one-variable linear equations with natural number solutions; verify the solution by substitution</t>
        </is>
      </c>
      <c r="E46" s="9" t="n">
        <v>3</v>
      </c>
      <c r="F46" s="9" t="inlineStr">
        <is>
          <t>solving linear equations such as 3x+7=19 algebraically, and verifying the solution by substitution</t>
        </is>
      </c>
    </row>
    <row r="47" ht="23.25" customHeight="1" s="1">
      <c r="A47" s="9" t="inlineStr">
        <is>
          <t>AC9M7A04</t>
        </is>
      </c>
      <c r="B47" s="9" t="n">
        <v>7</v>
      </c>
      <c r="C47" s="9" t="inlineStr">
        <is>
          <t>Algebra</t>
        </is>
      </c>
      <c r="D47" s="9" t="inlineStr">
        <is>
          <t>describe relationships between variables represented in graphs of functions from authentic data</t>
        </is>
      </c>
      <c r="E47" s="9" t="n">
        <v>1</v>
      </c>
      <c r="F47" s="9" t="inlineStr">
        <is>
          <t>using graphs to analyse a building’s electricity or gas usage over a period of time, the value of shares on a stock market, or the temperature during a day, interpreting and discussing the relationships they represent</t>
        </is>
      </c>
    </row>
    <row r="48" ht="23.25" customHeight="1" s="1">
      <c r="A48" s="9" t="inlineStr">
        <is>
          <t>AC9M7A04</t>
        </is>
      </c>
      <c r="B48" s="9" t="n">
        <v>7</v>
      </c>
      <c r="C48" s="9" t="inlineStr">
        <is>
          <t>Algebra</t>
        </is>
      </c>
      <c r="D48" s="9" t="inlineStr">
        <is>
          <t>describe relationships between variables represented in graphs of functions from authentic data</t>
        </is>
      </c>
      <c r="E48" s="9" t="n">
        <v>2</v>
      </c>
      <c r="F48" s="9" t="inlineStr">
        <is>
          <t>using travel graphs to compare the distance travelled to and from school, interpreting and discussing features of travel graphs such as the slope of lines and the meaning of horizontal line segments</t>
        </is>
      </c>
    </row>
    <row r="49" ht="23.25" customHeight="1" s="1">
      <c r="A49" s="9" t="inlineStr">
        <is>
          <t>AC9M7A04</t>
        </is>
      </c>
      <c r="B49" s="9" t="n">
        <v>7</v>
      </c>
      <c r="C49" s="9" t="inlineStr">
        <is>
          <t>Algebra</t>
        </is>
      </c>
      <c r="D49" s="9" t="inlineStr">
        <is>
          <t>describe relationships between variables represented in graphs of functions from authentic data</t>
        </is>
      </c>
      <c r="E49" s="9" t="n">
        <v>3</v>
      </c>
      <c r="F49" s="9" t="inlineStr">
        <is>
          <t>telling the story behind what is being represented in graphs of functions; for example, graphs representing pouring rates or distance versus time</t>
        </is>
      </c>
    </row>
    <row r="50" ht="15" customHeight="1" s="1">
      <c r="A50" s="9" t="inlineStr">
        <is>
          <t>AC9M7A04</t>
        </is>
      </c>
      <c r="B50" s="9" t="n">
        <v>7</v>
      </c>
      <c r="C50" s="9" t="inlineStr">
        <is>
          <t>Algebra</t>
        </is>
      </c>
      <c r="D50" s="9" t="inlineStr">
        <is>
          <t>describe relationships between variables represented in graphs of functions from authentic data</t>
        </is>
      </c>
      <c r="E50" s="9" t="n">
        <v>4</v>
      </c>
      <c r="F50" s="9" t="inlineStr">
        <is>
          <t>using graphs of evaporation rates to explore and discuss First Nations Australians’ methods of water resource management</t>
        </is>
      </c>
    </row>
    <row r="51" ht="23.25" customHeight="1" s="1">
      <c r="A51" s="9" t="inlineStr">
        <is>
          <t>AC9M7A05</t>
        </is>
      </c>
      <c r="B51" s="9" t="n">
        <v>7</v>
      </c>
      <c r="C51" s="9" t="inlineStr">
        <is>
          <t>Algebra</t>
        </is>
      </c>
      <c r="D51" s="9" t="inlineStr">
        <is>
          <t>generate tables of values from visually growing patterns or the rule of a function; describe and plot these relationships on the Cartesian plane</t>
        </is>
      </c>
      <c r="E51" s="9" t="n">
        <v>1</v>
      </c>
      <c r="F51" s="9" t="inlineStr">
        <is>
          <t>plotting points from a table of values generated using simple linear functions and recognising patterns, such as the points lie on a straight line</t>
        </is>
      </c>
    </row>
    <row r="52" ht="23.25" customHeight="1" s="1">
      <c r="A52" s="9" t="inlineStr">
        <is>
          <t>AC9M7A05</t>
        </is>
      </c>
      <c r="B52" s="9" t="n">
        <v>7</v>
      </c>
      <c r="C52" s="9" t="inlineStr">
        <is>
          <t>Algebra</t>
        </is>
      </c>
      <c r="D52" s="9" t="inlineStr">
        <is>
          <t>generate tables of values from visually growing patterns or the rule of a function; describe and plot these relationships on the Cartesian plane</t>
        </is>
      </c>
      <c r="E52" s="9" t="n">
        <v>2</v>
      </c>
      <c r="F52" s="9" t="inlineStr">
        <is>
          <t>discussing and using variables to create a general rule and use the rule to determine the value of the dependent variable for any given value of the independent variable; for example, plotting the value of the circumference of a circle for varying values of radius</t>
        </is>
      </c>
    </row>
    <row r="53" ht="23.25" customHeight="1" s="1">
      <c r="A53" s="9" t="inlineStr">
        <is>
          <t>AC9M7A05</t>
        </is>
      </c>
      <c r="B53" s="9" t="n">
        <v>7</v>
      </c>
      <c r="C53" s="9" t="inlineStr">
        <is>
          <t>Algebra</t>
        </is>
      </c>
      <c r="D53" s="9" t="inlineStr">
        <is>
          <t>generate tables of values from visually growing patterns or the rule of a function; describe and plot these relationships on the Cartesian plane</t>
        </is>
      </c>
      <c r="E53" s="9" t="n">
        <v>3</v>
      </c>
      <c r="F53" s="9" t="inlineStr">
        <is>
          <t>using function machines to generate a table of ordered pairs using input and output values, plotting the relationships on a Cartesian plane and describing the graph in terms of shape</t>
        </is>
      </c>
    </row>
    <row r="54" ht="23.25" customHeight="1" s="1">
      <c r="A54" s="9" t="inlineStr">
        <is>
          <t>AC9M7A05</t>
        </is>
      </c>
      <c r="B54" s="9" t="n">
        <v>7</v>
      </c>
      <c r="C54" s="9" t="inlineStr">
        <is>
          <t>Algebra</t>
        </is>
      </c>
      <c r="D54" s="9" t="inlineStr">
        <is>
          <t>generate tables of values from visually growing patterns or the rule of a function; describe and plot these relationships on the Cartesian plane</t>
        </is>
      </c>
      <c r="E54" s="9" t="n">
        <v>4</v>
      </c>
      <c r="F54" s="9" t="inlineStr">
        <is>
          <t>using diagrams and manipulatives to form linear growth patterns, representing these patterns in tables and describing the relationship in terms of the way the pattern is growing and in the context of the situation</t>
        </is>
      </c>
    </row>
    <row r="55" ht="23.25" customHeight="1" s="1">
      <c r="A55" s="9" t="inlineStr">
        <is>
          <t>AC9M7A06</t>
        </is>
      </c>
      <c r="B55" s="9" t="n">
        <v>7</v>
      </c>
      <c r="C55" s="9" t="inlineStr">
        <is>
          <t>Algebra</t>
        </is>
      </c>
      <c r="D55" s="9" t="inlineStr">
        <is>
          <t>manipulate formulas involving several variables using digital tools, and describe the effect of systematic variation in the values of the variables</t>
        </is>
      </c>
      <c r="E55" s="9" t="n">
        <v>1</v>
      </c>
      <c r="F55" s="9" t="inlineStr">
        <is>
          <t>experimenting with different sets of tables of values from formulas; for example, using volume of a rectangular prism = length × width × height, and specifying a fixed width and equal length and varying the height</t>
        </is>
      </c>
    </row>
    <row r="56" ht="23.25" customHeight="1" s="1">
      <c r="A56" s="9" t="inlineStr">
        <is>
          <t>AC9M7A06</t>
        </is>
      </c>
      <c r="B56" s="9" t="n">
        <v>7</v>
      </c>
      <c r="C56" s="9" t="inlineStr">
        <is>
          <t>Algebra</t>
        </is>
      </c>
      <c r="D56" s="9" t="inlineStr">
        <is>
          <t>manipulate formulas involving several variables using digital tools, and describe the effect of systematic variation in the values of the variables</t>
        </is>
      </c>
      <c r="E56" s="9" t="n">
        <v>2</v>
      </c>
      <c r="F56" s="9" t="inlineStr">
        <is>
          <t>using spreadsheets and the formula function to recognise the effect of changing parameters on the entries in cells</t>
        </is>
      </c>
    </row>
    <row r="57" ht="23.25" customHeight="1" s="1">
      <c r="A57" s="9" t="inlineStr">
        <is>
          <t>AC9M7A06</t>
        </is>
      </c>
      <c r="B57" s="9" t="n">
        <v>7</v>
      </c>
      <c r="C57" s="9" t="inlineStr">
        <is>
          <t>Algebra</t>
        </is>
      </c>
      <c r="D57" s="9" t="inlineStr">
        <is>
          <t>manipulate formulas involving several variables using digital tools, and describe the effect of systematic variation in the values of the variables</t>
        </is>
      </c>
      <c r="E57" s="9" t="n">
        <v>3</v>
      </c>
      <c r="F57" s="9" t="inlineStr">
        <is>
          <t>analysing distance travelled for different combinations of average speed and time of travel using a table of values and the distance formula</t>
        </is>
      </c>
    </row>
    <row r="58" ht="34.5" customHeight="1" s="1">
      <c r="A58" s="9" t="inlineStr">
        <is>
          <t>AC9M7M01</t>
        </is>
      </c>
      <c r="B58" s="9" t="n">
        <v>7</v>
      </c>
      <c r="C58" s="9" t="inlineStr">
        <is>
          <t>Measurement</t>
        </is>
      </c>
      <c r="D58" s="9" t="inlineStr">
        <is>
          <t>solve problems involving the area of triangles and parallelograms using established formulas and appropriate units</t>
        </is>
      </c>
      <c r="E58" s="9" t="n">
        <v>1</v>
      </c>
      <c r="F58" s="9" t="inlineStr">
        <is>
          <t>using the formula for the area of a rectangle and the array structure to derive the formula for the area of a triangle and the area of a parallelogram, given their perpendicular heights; for example, establish that the area of a triangle is half the area of an appropriate rectangle by using the spatial relationship between rectangles and different types of triangles</t>
        </is>
      </c>
    </row>
    <row r="59" ht="23.25" customHeight="1" s="1">
      <c r="A59" s="9" t="inlineStr">
        <is>
          <t>AC9M7M01</t>
        </is>
      </c>
      <c r="B59" s="9" t="n">
        <v>7</v>
      </c>
      <c r="C59" s="9" t="inlineStr">
        <is>
          <t>Measurement</t>
        </is>
      </c>
      <c r="D59" s="9" t="inlineStr">
        <is>
          <t>solve problems involving the area of triangles and parallelograms using established formulas and appropriate units</t>
        </is>
      </c>
      <c r="E59" s="9" t="n">
        <v>2</v>
      </c>
      <c r="F59" s="9" t="inlineStr">
        <is>
          <t>using dynamic geometry software to demonstrate how the sliding of the vertex of a triangle at a fixed altitude opposite a side leaves the area of the triangle unchanged</t>
        </is>
      </c>
    </row>
    <row r="60" ht="34.5" customHeight="1" s="1">
      <c r="A60" s="9" t="inlineStr">
        <is>
          <t>AC9M7M01</t>
        </is>
      </c>
      <c r="B60" s="9" t="n">
        <v>7</v>
      </c>
      <c r="C60" s="9" t="inlineStr">
        <is>
          <t>Measurement</t>
        </is>
      </c>
      <c r="D60" s="9" t="inlineStr">
        <is>
          <t>solve problems involving the area of triangles and parallelograms using established formulas and appropriate units</t>
        </is>
      </c>
      <c r="E60" s="9" t="n">
        <v>3</v>
      </c>
      <c r="F60" s="9" t="inlineStr">
        <is>
          <t>using established formulas to solve practical problems involving the area of triangles, parallelograms and rectangles; for example, estimating the cost of materials needed to make shade sails based on a price per metre or determining different combinations of dimensions that lead to a given area</t>
        </is>
      </c>
    </row>
    <row r="61" ht="23.25" customHeight="1" s="1">
      <c r="A61" s="9" t="inlineStr">
        <is>
          <t>AC9M7M02</t>
        </is>
      </c>
      <c r="B61" s="9" t="n">
        <v>7</v>
      </c>
      <c r="C61" s="9" t="inlineStr">
        <is>
          <t>Measurement</t>
        </is>
      </c>
      <c r="D61" s="9" t="inlineStr">
        <is>
          <t>solve problems involving the volume of right prisms including rectangular and triangular prisms, using established formulas and appropriate units</t>
        </is>
      </c>
      <c r="E61" s="9" t="n">
        <v>1</v>
      </c>
      <c r="F61" s="9" t="inlineStr">
        <is>
          <t>building a rectangular prism out of unit cubes and showing that the measure of volume is the same as would be found by multiplying the 3 edge lengths or by multiplying the area of the base by the height/length</t>
        </is>
      </c>
    </row>
    <row r="62" ht="23.25" customHeight="1" s="1">
      <c r="A62" s="9" t="inlineStr">
        <is>
          <t>AC9M7M02</t>
        </is>
      </c>
      <c r="B62" s="9" t="n">
        <v>7</v>
      </c>
      <c r="C62" s="9" t="inlineStr">
        <is>
          <t>Measurement</t>
        </is>
      </c>
      <c r="D62" s="9" t="inlineStr">
        <is>
          <t>solve problems involving the volume of right prisms including rectangular and triangular prisms, using established formulas and appropriate units</t>
        </is>
      </c>
      <c r="E62" s="9" t="n">
        <v>2</v>
      </c>
      <c r="F62" s="9" t="inlineStr">
        <is>
          <t>developing the connection between the area of the parallel cross-section (base), the height and volume of a rectangular or triangular prism to other prisms</t>
        </is>
      </c>
    </row>
    <row r="63" ht="23.25" customHeight="1" s="1">
      <c r="A63" s="9" t="inlineStr">
        <is>
          <t>AC9M7M02</t>
        </is>
      </c>
      <c r="B63" s="9" t="n">
        <v>7</v>
      </c>
      <c r="C63" s="9" t="inlineStr">
        <is>
          <t>Measurement</t>
        </is>
      </c>
      <c r="D63" s="9" t="inlineStr">
        <is>
          <t>solve problems involving the volume of right prisms including rectangular and triangular prisms, using established formulas and appropriate units</t>
        </is>
      </c>
      <c r="E63" s="9" t="n">
        <v>3</v>
      </c>
      <c r="F63" s="9" t="inlineStr">
        <is>
          <t>connecting the area of the floor space and the number of floors of a high-rise building to calculate the volume of a building</t>
        </is>
      </c>
    </row>
    <row r="64" ht="23.25" customHeight="1" s="1">
      <c r="A64" s="9" t="inlineStr">
        <is>
          <t>AC9M7M02</t>
        </is>
      </c>
      <c r="B64" s="9" t="n">
        <v>7</v>
      </c>
      <c r="C64" s="9" t="inlineStr">
        <is>
          <t>Measurement</t>
        </is>
      </c>
      <c r="D64" s="9" t="inlineStr">
        <is>
          <t>solve problems involving the volume of right prisms including rectangular and triangular prisms, using established formulas and appropriate units</t>
        </is>
      </c>
      <c r="E64" s="9" t="n">
        <v>4</v>
      </c>
      <c r="F64" s="9" t="inlineStr">
        <is>
          <t>using dynamic geometry software, spatial reasoning and prediction to derive the formula for the volume of prisms</t>
        </is>
      </c>
    </row>
    <row r="65" ht="34.5" customHeight="1" s="1">
      <c r="A65" s="9" t="inlineStr">
        <is>
          <t>AC9M7M03</t>
        </is>
      </c>
      <c r="B65" s="9" t="n">
        <v>7</v>
      </c>
      <c r="C65" s="9" t="inlineStr">
        <is>
          <t>Measurement</t>
        </is>
      </c>
      <c r="D65" s="9" t="inlineStr">
        <is>
          <t>describe the relationship between π and the features of circles including the circumference, radius and diameter</t>
        </is>
      </c>
      <c r="E65" s="9" t="n">
        <v>1</v>
      </c>
      <c r="F65" s="9" t="inlineStr">
        <is>
          <t>recognising the features of circles and their relationships to one another; for example, labelling the parts of a circle including centre, radius, diameter, circumference and using one of radius, diameter or circumference to determine the measure of the other 2; understanding that the diameter of a circle is twice the radius, or that the radius is the circumference divided by 2π</t>
        </is>
      </c>
    </row>
    <row r="66" ht="34.5" customHeight="1" s="1">
      <c r="A66" s="9" t="inlineStr">
        <is>
          <t>AC9M7M03</t>
        </is>
      </c>
      <c r="B66" s="9" t="n">
        <v>7</v>
      </c>
      <c r="C66" s="9" t="inlineStr">
        <is>
          <t>Measurement</t>
        </is>
      </c>
      <c r="D66" s="9" t="inlineStr">
        <is>
          <t>describe the relationship between π and the features of circles including the circumference, radius and diameter</t>
        </is>
      </c>
      <c r="E66" s="9" t="n">
        <v>2</v>
      </c>
      <c r="F66" s="9" t="inlineStr">
        <is>
          <t>comparing the circumference of circles in relation to their radius and diameter with materials and measuring, to establish measurement formulas; for example, using a compass to draw several circles, then using string to approximate the circumference, comparing the length of string to the diameter of the circle</t>
        </is>
      </c>
    </row>
    <row r="67" ht="23.25" customHeight="1" s="1">
      <c r="A67" s="9" t="inlineStr">
        <is>
          <t>AC9M7M03</t>
        </is>
      </c>
      <c r="B67" s="9" t="n">
        <v>7</v>
      </c>
      <c r="C67" s="9" t="inlineStr">
        <is>
          <t>Measurement</t>
        </is>
      </c>
      <c r="D67" s="9" t="inlineStr">
        <is>
          <t>describe the relationship between π and the features of circles including the circumference, radius and diameter</t>
        </is>
      </c>
      <c r="E67" s="9" t="n">
        <v>3</v>
      </c>
      <c r="F67" s="9" t="inlineStr">
        <is>
          <t>investigating π as the constant in the proportional relationship between the circumference of a circle and its diameter, and historical approximations from different civilisations, including Egypt, Babylon, Greece, India and China</t>
        </is>
      </c>
    </row>
    <row r="68" ht="23.25" customHeight="1" s="1">
      <c r="A68" s="9" t="inlineStr">
        <is>
          <t>AC9M7M03</t>
        </is>
      </c>
      <c r="B68" s="9" t="n">
        <v>7</v>
      </c>
      <c r="C68" s="9" t="inlineStr">
        <is>
          <t>Measurement</t>
        </is>
      </c>
      <c r="D68" s="9" t="inlineStr">
        <is>
          <t>describe the relationship between π and the features of circles including the circumference, radius and diameter</t>
        </is>
      </c>
      <c r="E68" s="9" t="n">
        <v>4</v>
      </c>
      <c r="F68" s="9" t="inlineStr">
        <is>
          <t>investigating the applications and significance of circles in everyday life of First Nations Australians such as in basketry, symbols and architecture, recognising the relationships between the centre, radius, diameter and circumference</t>
        </is>
      </c>
    </row>
    <row r="69" ht="23.25" customHeight="1" s="1">
      <c r="A69" s="9" t="inlineStr">
        <is>
          <t>AC9M7M04</t>
        </is>
      </c>
      <c r="B69" s="9" t="n">
        <v>7</v>
      </c>
      <c r="C69" s="9" t="inlineStr">
        <is>
          <t>Measurement</t>
        </is>
      </c>
      <c r="D69" s="9" t="inlineStr">
        <is>
          <t>identify corresponding, alternate and co-interior relationships between angles formed when parallel lines are crossed by a transversal; use them to solve problems and explain reasons</t>
        </is>
      </c>
      <c r="E69" s="9" t="n">
        <v>1</v>
      </c>
      <c r="F69" s="9" t="inlineStr">
        <is>
          <t>constructing a pair of parallel lines and a pair of perpendicular lines using their properties, a pair of compasses and a ruler, set squares or using dynamic geometry software</t>
        </is>
      </c>
    </row>
    <row r="70" ht="23.25" customHeight="1" s="1">
      <c r="A70" s="9" t="inlineStr">
        <is>
          <t>AC9M7M04</t>
        </is>
      </c>
      <c r="B70" s="9" t="n">
        <v>7</v>
      </c>
      <c r="C70" s="9" t="inlineStr">
        <is>
          <t>Measurement</t>
        </is>
      </c>
      <c r="D70" s="9" t="inlineStr">
        <is>
          <t>identify corresponding, alternate and co-interior relationships between angles formed when parallel lines are crossed by a transversal; use them to solve problems and explain reasons</t>
        </is>
      </c>
      <c r="E70" s="9" t="n">
        <v>2</v>
      </c>
      <c r="F70" s="9" t="inlineStr">
        <is>
          <t>using dynamic geometry software to identify relationships between alternate, corresponding and co-interior angles for a pair of parallel lines cut by a transversal</t>
        </is>
      </c>
    </row>
    <row r="71" ht="23.25" customHeight="1" s="1">
      <c r="A71" s="9" t="inlineStr">
        <is>
          <t>AC9M7M04</t>
        </is>
      </c>
      <c r="B71" s="9" t="n">
        <v>7</v>
      </c>
      <c r="C71" s="9" t="inlineStr">
        <is>
          <t>Measurement</t>
        </is>
      </c>
      <c r="D71" s="9" t="inlineStr">
        <is>
          <t>identify corresponding, alternate and co-interior relationships between angles formed when parallel lines are crossed by a transversal; use them to solve problems and explain reasons</t>
        </is>
      </c>
      <c r="E71" s="9" t="n">
        <v>3</v>
      </c>
      <c r="F71" s="9" t="inlineStr">
        <is>
          <t>using dynamic geometry software to demonstrate how angles and their properties are involved in the design and construction of scissor lifts, folding umbrellas, toolboxes and cherry pickers</t>
        </is>
      </c>
    </row>
    <row r="72" ht="34.5" customHeight="1" s="1">
      <c r="A72" s="9" t="inlineStr">
        <is>
          <t>AC9M7M04</t>
        </is>
      </c>
      <c r="B72" s="9" t="n">
        <v>7</v>
      </c>
      <c r="C72" s="9" t="inlineStr">
        <is>
          <t>Measurement</t>
        </is>
      </c>
      <c r="D72" s="9" t="inlineStr">
        <is>
          <t>identify corresponding, alternate and co-interior relationships between angles formed when parallel lines are crossed by a transversal; use them to solve problems and explain reasons</t>
        </is>
      </c>
      <c r="E72" s="9" t="n">
        <v>4</v>
      </c>
      <c r="F72" s="9" t="inlineStr">
        <is>
          <t>using geometric reasoning of angle properties to generalise the angle relationships of parallel lines and transversals, and related properties such as the size of an exterior angle of a triangle is equal to the sum of the sizes of opposite and non-adjacent interior angles, and the sum of the sizes of interior angles in a triangle in the plane is equal to the size of 2 right angles or 180°</t>
        </is>
      </c>
    </row>
    <row r="73" ht="23.25" customHeight="1" s="1">
      <c r="A73" s="9" t="inlineStr">
        <is>
          <t>AC9M7M05</t>
        </is>
      </c>
      <c r="B73" s="9" t="n">
        <v>7</v>
      </c>
      <c r="C73" s="9" t="inlineStr">
        <is>
          <t>Measurement</t>
        </is>
      </c>
      <c r="D73" s="9" t="inlineStr">
        <is>
          <t>demonstrate that the interior angle sum of a triangle in the plane is 180° and apply this to determine the interior angle sum of other shapes and the size of unknown angles</t>
        </is>
      </c>
      <c r="E73" s="9" t="n">
        <v>1</v>
      </c>
      <c r="F73" s="9" t="inlineStr">
        <is>
          <t>using concrete materials to demonstrate that the sum of the interior angles of a triangle is 180°; for example, using paper triangles and tearing to demonstrate that the interior angles when combined form 180°</t>
        </is>
      </c>
    </row>
    <row r="74" ht="23.25" customHeight="1" s="1">
      <c r="A74" s="9" t="inlineStr">
        <is>
          <t>AC9M7M05</t>
        </is>
      </c>
      <c r="B74" s="9" t="n">
        <v>7</v>
      </c>
      <c r="C74" s="9" t="inlineStr">
        <is>
          <t>Measurement</t>
        </is>
      </c>
      <c r="D74" s="9" t="inlineStr">
        <is>
          <t>demonstrate that the interior angle sum of a triangle in the plane is 180° and apply this to determine the interior angle sum of other shapes and the size of unknown angles</t>
        </is>
      </c>
      <c r="E74" s="9" t="n">
        <v>2</v>
      </c>
      <c r="F74" s="9" t="inlineStr">
        <is>
          <t>using decomposition and the angle sum of a triangle to generalise the interior angle sum of an n-sided polygon, as 180(n-2)=180n-360</t>
        </is>
      </c>
    </row>
    <row r="75" ht="23.25" customHeight="1" s="1">
      <c r="A75" s="9" t="inlineStr">
        <is>
          <t>AC9M7M06</t>
        </is>
      </c>
      <c r="B75" s="9" t="n">
        <v>7</v>
      </c>
      <c r="C75" s="9" t="inlineStr">
        <is>
          <t>Measurement</t>
        </is>
      </c>
      <c r="D75" s="9" t="inlineStr">
        <is>
          <t>use mathematical modelling to solve practical problems involving ratios; formulate problems, interpret and communicate solutions in terms of the situation, justifying choices made about the representation</t>
        </is>
      </c>
      <c r="E75" s="9" t="n">
        <v>1</v>
      </c>
      <c r="F75" s="9" t="inlineStr">
        <is>
          <t>using fractions to model and solve ratio problems involving comparison of quantities, and considering part-part and part-whole relations</t>
        </is>
      </c>
    </row>
    <row r="76" ht="23.25" customHeight="1" s="1">
      <c r="A76" s="9" t="inlineStr">
        <is>
          <t>AC9M7M06</t>
        </is>
      </c>
      <c r="B76" s="9" t="n">
        <v>7</v>
      </c>
      <c r="C76" s="9" t="inlineStr">
        <is>
          <t>Measurement</t>
        </is>
      </c>
      <c r="D76" s="9" t="inlineStr">
        <is>
          <t>use mathematical modelling to solve practical problems involving ratios; formulate problems, interpret and communicate solutions in terms of the situation, justifying choices made about the representation</t>
        </is>
      </c>
      <c r="E76" s="9" t="n">
        <v>2</v>
      </c>
      <c r="F76" s="9" t="inlineStr">
        <is>
          <t>modelling and solving practical problems involving ratios of length, capacity or mass, such as in construction, design, food or textile production; for example, mixing concrete, the golden ratio in design, mixing a salad dressing</t>
        </is>
      </c>
    </row>
    <row r="77" ht="23.25" customHeight="1" s="1">
      <c r="A77" s="9" t="inlineStr">
        <is>
          <t>AC9M7M06</t>
        </is>
      </c>
      <c r="B77" s="9" t="n">
        <v>7</v>
      </c>
      <c r="C77" s="9" t="inlineStr">
        <is>
          <t>Measurement</t>
        </is>
      </c>
      <c r="D77" s="9" t="inlineStr">
        <is>
          <t>use mathematical modelling to solve practical problems involving ratios; formulate problems, interpret and communicate solutions in terms of the situation, justifying choices made about the representation</t>
        </is>
      </c>
      <c r="E77" s="9" t="n">
        <v>3</v>
      </c>
      <c r="F77" s="9" t="inlineStr">
        <is>
          <t>modelling the situation using manipulatives, diagrams and/or mathematical discussion; for example, mixing primary colours in a variety of ratios to investigate how new colours are created and the strength of those colours</t>
        </is>
      </c>
    </row>
    <row r="78" ht="23.25" customHeight="1" s="1">
      <c r="A78" s="9" t="inlineStr">
        <is>
          <t>AC9M7M06</t>
        </is>
      </c>
      <c r="B78" s="9" t="n">
        <v>7</v>
      </c>
      <c r="C78" s="9" t="inlineStr">
        <is>
          <t>Measurement</t>
        </is>
      </c>
      <c r="D78" s="9" t="inlineStr">
        <is>
          <t>use mathematical modelling to solve practical problems involving ratios; formulate problems, interpret and communicate solutions in terms of the situation, justifying choices made about the representation</t>
        </is>
      </c>
      <c r="E78" s="9" t="n">
        <v>4</v>
      </c>
      <c r="F78" s="9" t="inlineStr">
        <is>
          <t>investigating commercialised substances founded on First Nations Australians’ knowledges of substances including pharmaceuticals and toxins, understanding how ratios are used in their development</t>
        </is>
      </c>
    </row>
    <row r="79" ht="23.25" customHeight="1" s="1">
      <c r="A79" s="9" t="inlineStr">
        <is>
          <t>AC9M7SP01</t>
        </is>
      </c>
      <c r="B79" s="9" t="n">
        <v>7</v>
      </c>
      <c r="C79" s="9" t="inlineStr">
        <is>
          <t>Space</t>
        </is>
      </c>
      <c r="D79" s="9" t="inlineStr">
        <is>
          <t>represent objects in 2 dimensions; discuss and reason about the advantages and disadvantages of different representations</t>
        </is>
      </c>
      <c r="E79" s="9" t="n">
        <v>1</v>
      </c>
      <c r="F79" s="9" t="inlineStr">
        <is>
          <t>deconstructing packaging to identify shapes and nets</t>
        </is>
      </c>
    </row>
    <row r="80" ht="23.25" customHeight="1" s="1">
      <c r="A80" s="9" t="inlineStr">
        <is>
          <t>AC9M7SP01</t>
        </is>
      </c>
      <c r="B80" s="9" t="n">
        <v>7</v>
      </c>
      <c r="C80" s="9" t="inlineStr">
        <is>
          <t>Space</t>
        </is>
      </c>
      <c r="D80" s="9" t="inlineStr">
        <is>
          <t>represent objects in 2 dimensions; discuss and reason about the advantages and disadvantages of different representations</t>
        </is>
      </c>
      <c r="E80" s="9" t="n">
        <v>2</v>
      </c>
      <c r="F80" s="9" t="inlineStr">
        <is>
          <t>using different nets to construct prisms and determining which nets will make a cube, rectangular prism, triangular prism or pyramid</t>
        </is>
      </c>
    </row>
    <row r="81" ht="23.25" customHeight="1" s="1">
      <c r="A81" s="9" t="inlineStr">
        <is>
          <t>AC9M7SP01</t>
        </is>
      </c>
      <c r="B81" s="9" t="n">
        <v>7</v>
      </c>
      <c r="C81" s="9" t="inlineStr">
        <is>
          <t>Space</t>
        </is>
      </c>
      <c r="D81" s="9" t="inlineStr">
        <is>
          <t>represent objects in 2 dimensions; discuss and reason about the advantages and disadvantages of different representations</t>
        </is>
      </c>
      <c r="E81" s="9" t="n">
        <v>3</v>
      </c>
      <c r="F81" s="9" t="inlineStr">
        <is>
          <t>using aerial views of buildings and other three-dimensional structures to visualise the footprint made by the building or structure, identifying prisms that could approximate the structure</t>
        </is>
      </c>
    </row>
    <row r="82" ht="23.25" customHeight="1" s="1">
      <c r="A82" s="9" t="inlineStr">
        <is>
          <t>AC9M7SP01</t>
        </is>
      </c>
      <c r="B82" s="9" t="n">
        <v>7</v>
      </c>
      <c r="C82" s="9" t="inlineStr">
        <is>
          <t>Space</t>
        </is>
      </c>
      <c r="D82" s="9" t="inlineStr">
        <is>
          <t>represent objects in 2 dimensions; discuss and reason about the advantages and disadvantages of different representations</t>
        </is>
      </c>
      <c r="E82" s="9" t="n">
        <v>4</v>
      </c>
      <c r="F82" s="9" t="inlineStr">
        <is>
          <t>building objects by interpreting isometric and perspective drawings</t>
        </is>
      </c>
    </row>
    <row r="83" ht="23.25" customHeight="1" s="1">
      <c r="A83" s="9" t="inlineStr">
        <is>
          <t>AC9M7SP01</t>
        </is>
      </c>
      <c r="B83" s="9" t="n">
        <v>7</v>
      </c>
      <c r="C83" s="9" t="inlineStr">
        <is>
          <t>Space</t>
        </is>
      </c>
      <c r="D83" s="9" t="inlineStr">
        <is>
          <t>represent objects in 2 dimensions; discuss and reason about the advantages and disadvantages of different representations</t>
        </is>
      </c>
      <c r="E83" s="9" t="n">
        <v>5</v>
      </c>
      <c r="F83" s="9" t="inlineStr">
        <is>
          <t>using isometric and square grid paper to draw views of front, back, side, top and bottom of objects</t>
        </is>
      </c>
    </row>
    <row r="84" ht="23.25" customHeight="1" s="1">
      <c r="A84" s="9" t="inlineStr">
        <is>
          <t>AC9M7SP01</t>
        </is>
      </c>
      <c r="B84" s="9" t="n">
        <v>7</v>
      </c>
      <c r="C84" s="9" t="inlineStr">
        <is>
          <t>Space</t>
        </is>
      </c>
      <c r="D84" s="9" t="inlineStr">
        <is>
          <t>represent objects in 2 dimensions; discuss and reason about the advantages and disadvantages of different representations</t>
        </is>
      </c>
      <c r="E84" s="9" t="n">
        <v>6</v>
      </c>
      <c r="F84" s="9" t="inlineStr">
        <is>
          <t>exploring different two-dimensional representations of objects in First Nations Australians’ artworks or cultural maps of Country/Place</t>
        </is>
      </c>
    </row>
    <row r="85" ht="23.25" customHeight="1" s="1">
      <c r="A85" s="9" t="inlineStr">
        <is>
          <t>AC9M7SP02</t>
        </is>
      </c>
      <c r="B85" s="9" t="n">
        <v>7</v>
      </c>
      <c r="C85" s="9" t="inlineStr">
        <is>
          <t>Space</t>
        </is>
      </c>
      <c r="D85" s="9" t="inlineStr">
        <is>
          <t>classify triangles, quadrilaterals and other polygons according to their side and angle properties; identify and reason about relationships</t>
        </is>
      </c>
      <c r="E85" s="9" t="n">
        <v>1</v>
      </c>
      <c r="F85" s="9" t="inlineStr">
        <is>
          <t>using strips of paper with parallel sides to make triangles and quadrilaterals, and contrasting the rigidity of triangles with the flexibility of quadrilaterals</t>
        </is>
      </c>
    </row>
    <row r="86" ht="23.25" customHeight="1" s="1">
      <c r="A86" s="9" t="inlineStr">
        <is>
          <t>AC9M7SP02</t>
        </is>
      </c>
      <c r="B86" s="9" t="n">
        <v>7</v>
      </c>
      <c r="C86" s="9" t="inlineStr">
        <is>
          <t>Space</t>
        </is>
      </c>
      <c r="D86" s="9" t="inlineStr">
        <is>
          <t>classify triangles, quadrilaterals and other polygons according to their side and angle properties; identify and reason about relationships</t>
        </is>
      </c>
      <c r="E86" s="9" t="n">
        <v>2</v>
      </c>
      <c r="F86" s="9" t="inlineStr">
        <is>
          <t>constructing triangles with 3 given side lengths and discussing the question, “Can any 3 lengths be used to form the sides of a triangle?”</t>
        </is>
      </c>
    </row>
    <row r="87" ht="23.25" customHeight="1" s="1">
      <c r="A87" s="9" t="inlineStr">
        <is>
          <t>AC9M7SP02</t>
        </is>
      </c>
      <c r="B87" s="9" t="n">
        <v>7</v>
      </c>
      <c r="C87" s="9" t="inlineStr">
        <is>
          <t>Space</t>
        </is>
      </c>
      <c r="D87" s="9" t="inlineStr">
        <is>
          <t>classify triangles, quadrilaterals and other polygons according to their side and angle properties; identify and reason about relationships</t>
        </is>
      </c>
      <c r="E87" s="9" t="n">
        <v>3</v>
      </c>
      <c r="F87" s="9" t="inlineStr">
        <is>
          <t>identifying and communicating about side and angle properties of scalene, isosceles, equilateral, right-angled, acute and obtuse triangles using geometric conventions</t>
        </is>
      </c>
    </row>
    <row r="88" ht="23.25" customHeight="1" s="1">
      <c r="A88" s="9" t="inlineStr">
        <is>
          <t>AC9M7SP02</t>
        </is>
      </c>
      <c r="B88" s="9" t="n">
        <v>7</v>
      </c>
      <c r="C88" s="9" t="inlineStr">
        <is>
          <t>Space</t>
        </is>
      </c>
      <c r="D88" s="9" t="inlineStr">
        <is>
          <t>classify triangles, quadrilaterals and other polygons according to their side and angle properties; identify and reason about relationships</t>
        </is>
      </c>
      <c r="E88" s="9" t="n">
        <v>4</v>
      </c>
      <c r="F88" s="9" t="inlineStr">
        <is>
          <t>describing, comparing and contrasting squares, rectangles, rhombuses, parallelograms, kites and trapeziums, explaining the relationships between these shapes</t>
        </is>
      </c>
    </row>
    <row r="89" ht="23.25" customHeight="1" s="1">
      <c r="A89" s="9" t="inlineStr">
        <is>
          <t>AC9M7SP03</t>
        </is>
      </c>
      <c r="B89" s="9" t="n">
        <v>7</v>
      </c>
      <c r="C89" s="9" t="inlineStr">
        <is>
          <t>Space</t>
        </is>
      </c>
      <c r="D89" s="9" t="inlineStr">
        <is>
          <t>describe transformations of a set of points using coordinates in the Cartesian plane, translations and reflections on an axis, and rotations about a given point</t>
        </is>
      </c>
      <c r="E89" s="9" t="n">
        <v>1</v>
      </c>
      <c r="F89" s="9" t="inlineStr">
        <is>
          <t>using digital tools to transform shapes in the Cartesian plane, describing and recording the transformations</t>
        </is>
      </c>
    </row>
    <row r="90" ht="23.25" customHeight="1" s="1">
      <c r="A90" s="9" t="inlineStr">
        <is>
          <t>AC9M7SP03</t>
        </is>
      </c>
      <c r="B90" s="9" t="n">
        <v>7</v>
      </c>
      <c r="C90" s="9" t="inlineStr">
        <is>
          <t>Space</t>
        </is>
      </c>
      <c r="D90" s="9" t="inlineStr">
        <is>
          <t>describe transformations of a set of points using coordinates in the Cartesian plane, translations and reflections on an axis, and rotations about a given point</t>
        </is>
      </c>
      <c r="E90" s="9" t="n">
        <v>2</v>
      </c>
      <c r="F90" s="9" t="inlineStr">
        <is>
          <t>describing patterns and investigating different ways to produce the same transformation, such as using 2 successive reflections to provide the same result as a translation</t>
        </is>
      </c>
    </row>
    <row r="91" ht="23.25" customHeight="1" s="1">
      <c r="A91" s="9" t="inlineStr">
        <is>
          <t>AC9M7SP03</t>
        </is>
      </c>
      <c r="B91" s="9" t="n">
        <v>7</v>
      </c>
      <c r="C91" s="9" t="inlineStr">
        <is>
          <t>Space</t>
        </is>
      </c>
      <c r="D91" s="9" t="inlineStr">
        <is>
          <t>describe transformations of a set of points using coordinates in the Cartesian plane, translations and reflections on an axis, and rotations about a given point</t>
        </is>
      </c>
      <c r="E91" s="9" t="n">
        <v>3</v>
      </c>
      <c r="F91" s="9" t="inlineStr">
        <is>
          <t>experimenting with, creating and re-creating patterns using combinations of translations, reflections and rotations, using digital tools</t>
        </is>
      </c>
    </row>
    <row r="92" ht="23.25" customHeight="1" s="1">
      <c r="A92" s="9" t="inlineStr">
        <is>
          <t>AC9M7SP04</t>
        </is>
      </c>
      <c r="B92" s="9" t="n">
        <v>7</v>
      </c>
      <c r="C92" s="9" t="inlineStr">
        <is>
          <t>Space</t>
        </is>
      </c>
      <c r="D92" s="9" t="inlineStr">
        <is>
          <t>design and create algorithms involving a sequence of steps and decisions that will sort and classify sets of shapes according to their attributes, and describe how the algorithms work</t>
        </is>
      </c>
      <c r="E92" s="9" t="n">
        <v>1</v>
      </c>
      <c r="F92" s="9" t="inlineStr">
        <is>
          <t>creating a classification scheme for triangles based on sides and angles, using a flow chart using sequences and decisions</t>
        </is>
      </c>
    </row>
    <row r="93" ht="23.25" customHeight="1" s="1">
      <c r="A93" s="9" t="inlineStr">
        <is>
          <t>AC9M7SP04</t>
        </is>
      </c>
      <c r="B93" s="9" t="n">
        <v>7</v>
      </c>
      <c r="C93" s="9" t="inlineStr">
        <is>
          <t>Space</t>
        </is>
      </c>
      <c r="D93" s="9" t="inlineStr">
        <is>
          <t>design and create algorithms involving a sequence of steps and decisions that will sort and classify sets of shapes according to their attributes, and describe how the algorithms work</t>
        </is>
      </c>
      <c r="E93" s="9" t="n">
        <v>2</v>
      </c>
      <c r="F93" s="9" t="inlineStr">
        <is>
          <t>creating a flow chart or hierarchy for quadrilaterals that shows the relationships between trapeziums, parallelograms, rhombuses, rectangles, squares and kites</t>
        </is>
      </c>
    </row>
    <row r="94" ht="23.25" customHeight="1" s="1">
      <c r="A94" s="9" t="inlineStr">
        <is>
          <t>AC9M7SP04</t>
        </is>
      </c>
      <c r="B94" s="9" t="n">
        <v>7</v>
      </c>
      <c r="C94" s="9" t="inlineStr">
        <is>
          <t>Space</t>
        </is>
      </c>
      <c r="D94" s="9" t="inlineStr">
        <is>
          <t>design and create algorithms involving a sequence of steps and decisions that will sort and classify sets of shapes according to their attributes, and describe how the algorithms work</t>
        </is>
      </c>
      <c r="E94" s="9" t="n">
        <v>3</v>
      </c>
      <c r="F94" s="9" t="inlineStr">
        <is>
          <t>creating a classification scheme for regular, irregular, concave or convex polygons that are sorted according to the number of sides</t>
        </is>
      </c>
    </row>
    <row r="95" ht="34.5" customHeight="1" s="1">
      <c r="A95" s="9" t="inlineStr">
        <is>
          <t>AC9M7ST01</t>
        </is>
      </c>
      <c r="B95" s="9" t="n">
        <v>7</v>
      </c>
      <c r="C95" s="9" t="inlineStr">
        <is>
          <t>Statistics</t>
        </is>
      </c>
      <c r="D95" s="9" t="inlineStr">
        <is>
          <t>acquire data sets for discrete and continuous numerical variables and calculate the range, median, mean and mode; make and justify decisions about which measures of central tendency provide useful insights into the nature of the distribution of data</t>
        </is>
      </c>
      <c r="E95" s="9" t="n">
        <v>1</v>
      </c>
      <c r="F95" s="9" t="inlineStr">
        <is>
          <t>understanding that summarising data by calculating measures of centre can help make sense of the data, commenting on skewness or symmetry of data and the use of mean and median as representative measures</t>
        </is>
      </c>
    </row>
    <row r="96" ht="34.5" customHeight="1" s="1">
      <c r="A96" s="9" t="inlineStr">
        <is>
          <t>AC9M7ST01</t>
        </is>
      </c>
      <c r="B96" s="9" t="n">
        <v>7</v>
      </c>
      <c r="C96" s="9" t="inlineStr">
        <is>
          <t>Statistics</t>
        </is>
      </c>
      <c r="D96" s="9" t="inlineStr">
        <is>
          <t>acquire data sets for discrete and continuous numerical variables and calculate the range, median, mean and mode; make and justify decisions about which measures of central tendency provide useful insights into the nature of the distribution of data</t>
        </is>
      </c>
      <c r="E96" s="9" t="n">
        <v>2</v>
      </c>
      <c r="F96" s="9" t="inlineStr">
        <is>
          <t>comparing the mean, median, mode and range of displays of data from a given context, and explaining how outliers may affect summary statistics</t>
        </is>
      </c>
    </row>
    <row r="97" ht="34.5" customHeight="1" s="1">
      <c r="A97" s="9" t="inlineStr">
        <is>
          <t>AC9M7ST01</t>
        </is>
      </c>
      <c r="B97" s="9" t="n">
        <v>7</v>
      </c>
      <c r="C97" s="9" t="inlineStr">
        <is>
          <t>Statistics</t>
        </is>
      </c>
      <c r="D97" s="9" t="inlineStr">
        <is>
          <t>acquire data sets for discrete and continuous numerical variables and calculate the range, median, mean and mode; make and justify decisions about which measures of central tendency provide useful insights into the nature of the distribution of data</t>
        </is>
      </c>
      <c r="E97" s="9" t="n">
        <v>3</v>
      </c>
      <c r="F97" s="9" t="inlineStr">
        <is>
          <t>recognising how different data sets can have the same measures of central tendency and experimenting with how varying data affects these measures</t>
        </is>
      </c>
    </row>
    <row r="98" ht="34.5" customHeight="1" s="1">
      <c r="A98" s="9" t="inlineStr">
        <is>
          <t>AC9M7ST01</t>
        </is>
      </c>
      <c r="B98" s="9" t="n">
        <v>7</v>
      </c>
      <c r="C98" s="9" t="inlineStr">
        <is>
          <t>Statistics</t>
        </is>
      </c>
      <c r="D98" s="9" t="inlineStr">
        <is>
          <t>acquire data sets for discrete and continuous numerical variables and calculate the range, median, mean and mode; make and justify decisions about which measures of central tendency provide useful insights into the nature of the distribution of data</t>
        </is>
      </c>
      <c r="E98" s="9" t="n">
        <v>4</v>
      </c>
      <c r="F98" s="9" t="inlineStr">
        <is>
          <t>acquire continuous numerical data by taking measurement samples during a science experiment, observation or field study, comparing measures of central tendency and identifying any anomalies in the distribution of data</t>
        </is>
      </c>
    </row>
    <row r="99" ht="34.5" customHeight="1" s="1">
      <c r="A99" s="9" t="inlineStr">
        <is>
          <t>AC9M7ST02</t>
        </is>
      </c>
      <c r="B99" s="9" t="n">
        <v>7</v>
      </c>
      <c r="C99" s="9" t="inlineStr">
        <is>
          <t>Statistics</t>
        </is>
      </c>
      <c r="D99" s="9" t="inlineStr">
        <is>
          <t>create different types of numerical data displays including stem-and-leaf plots using software where appropriate; describe and compare the distribution of data, commenting on the shape, centre and spread including outliers and determining the range, median, mean and mode</t>
        </is>
      </c>
      <c r="E99" s="9" t="n">
        <v>1</v>
      </c>
      <c r="F99" s="9" t="inlineStr">
        <is>
          <t>using ordered stem-and-leaf plots to record and display numerical data collected in a class investigation, such as constructing a class plot of height in centimetres on a shared stem-and-leaf plot for which the stems 12, 13, 14, 15, 16 and 17 have been produced</t>
        </is>
      </c>
    </row>
    <row r="100" ht="34.5" customHeight="1" s="1">
      <c r="A100" s="9" t="inlineStr">
        <is>
          <t>AC9M7ST02</t>
        </is>
      </c>
      <c r="B100" s="9" t="n">
        <v>7</v>
      </c>
      <c r="C100" s="9" t="inlineStr">
        <is>
          <t>Statistics</t>
        </is>
      </c>
      <c r="D100" s="9" t="inlineStr">
        <is>
          <t>create different types of numerical data displays including stem-and-leaf plots using software where appropriate; describe and compare the distribution of data, commenting on the shape, centre and spread including outliers and determining the range, median, mean and mode</t>
        </is>
      </c>
      <c r="E100" s="9" t="n">
        <v>2</v>
      </c>
      <c r="F100" s="9" t="inlineStr">
        <is>
          <t>comparing variation in attributes by category using split stem-and-leaf plots or dot plots; interpreting the shape of the distribution using qualitative terms to describe symmetry or skewness, “average” in terms of the mean, median and mode, and the amount of variation based on qualitative descriptions of the spread of the data</t>
        </is>
      </c>
    </row>
    <row r="101" ht="34.5" customHeight="1" s="1">
      <c r="A101" s="9" t="inlineStr">
        <is>
          <t>AC9M7ST02</t>
        </is>
      </c>
      <c r="B101" s="9" t="n">
        <v>7</v>
      </c>
      <c r="C101" s="9" t="inlineStr">
        <is>
          <t>Statistics</t>
        </is>
      </c>
      <c r="D101" s="9" t="inlineStr">
        <is>
          <t>create different types of numerical data displays including stem-and-leaf plots using software where appropriate; describe and compare the distribution of data, commenting on the shape, centre and spread including outliers and determining the range, median, mean and mode</t>
        </is>
      </c>
      <c r="E101" s="9" t="n">
        <v>3</v>
      </c>
      <c r="F101" s="9" t="inlineStr">
        <is>
          <t>connecting features of the data display; for example, highest frequency, clusters, gaps, symmetry or skewness, to the mode, range and median, and the question in context; describing the shape of distributions using terms such as “positive skew”, “negative skew”, “symmetric” and “bi-modal” and discussing the location of the median and mean on these distributions</t>
        </is>
      </c>
    </row>
    <row r="102" ht="45.75" customHeight="1" s="1">
      <c r="A102" s="9" t="inlineStr">
        <is>
          <t>AC9M7ST02</t>
        </is>
      </c>
      <c r="B102" s="9" t="n">
        <v>7</v>
      </c>
      <c r="C102" s="9" t="inlineStr">
        <is>
          <t>Statistics</t>
        </is>
      </c>
      <c r="D102" s="9" t="inlineStr">
        <is>
          <t>create different types of numerical data displays including stem-and-leaf plots using software where appropriate; describe and compare the distribution of data, commenting on the shape, centre and spread including outliers and determining the range, median, mean and mode</t>
        </is>
      </c>
      <c r="E102" s="9" t="n">
        <v>4</v>
      </c>
      <c r="F102" s="9" t="inlineStr">
        <is>
          <t>using mean and median to compare data sets, identifying possible outliers and explaining how these may affect the comparison; recognising how different displays make specific information about data more evident, including proportions, and measures of mean, mode or median, spread and extreme values; understanding that the median and the mean will be the same or similar for symmetric distributions but different for distributions that are skewed</t>
        </is>
      </c>
    </row>
    <row r="103" ht="34.5" customHeight="1" s="1">
      <c r="A103" s="9" t="inlineStr">
        <is>
          <t>AC9M7ST02</t>
        </is>
      </c>
      <c r="B103" s="9" t="n">
        <v>7</v>
      </c>
      <c r="C103" s="9" t="inlineStr">
        <is>
          <t>Statistics</t>
        </is>
      </c>
      <c r="D103" s="9" t="inlineStr">
        <is>
          <t>create different types of numerical data displays including stem-and-leaf plots using software where appropriate; describe and compare the distribution of data, commenting on the shape, centre and spread including outliers and determining the range, median, mean and mode</t>
        </is>
      </c>
      <c r="E103" s="9" t="n">
        <v>5</v>
      </c>
      <c r="F103" s="9" t="inlineStr">
        <is>
          <t>comparing the mean and median of data with and without extremes; for example, estimation of standard measures for length or mass, informally considering for a given set of data what might constitute an unexpected, unusual or extreme data value</t>
        </is>
      </c>
    </row>
    <row r="104" ht="23.25" customHeight="1" s="1">
      <c r="A104" s="9" t="inlineStr">
        <is>
          <t>AC9M7ST03</t>
        </is>
      </c>
      <c r="B104" s="9" t="n">
        <v>7</v>
      </c>
      <c r="C104" s="9" t="inlineStr">
        <is>
          <t>Statistics</t>
        </is>
      </c>
      <c r="D104" s="9" t="inlineStr">
        <is>
          <t>plan and conduct statistical investigations involving data for discrete and continuous numerical variables; analyse and interpret distributions of data and report findings in terms of shape and summary statistics</t>
        </is>
      </c>
      <c r="E104" s="9" t="n">
        <v>1</v>
      </c>
      <c r="F104" s="9" t="inlineStr">
        <is>
          <t>conducting an investigation to draw conclusions about whether teenagers have faster reaction times than adults</t>
        </is>
      </c>
    </row>
    <row r="105" ht="23.25" customHeight="1" s="1">
      <c r="A105" s="9" t="inlineStr">
        <is>
          <t>AC9M7ST03</t>
        </is>
      </c>
      <c r="B105" s="9" t="n">
        <v>7</v>
      </c>
      <c r="C105" s="9" t="inlineStr">
        <is>
          <t>Statistics</t>
        </is>
      </c>
      <c r="D105" s="9" t="inlineStr">
        <is>
          <t>plan and conduct statistical investigations involving data for discrete and continuous numerical variables; analyse and interpret distributions of data and report findings in terms of shape and summary statistics</t>
        </is>
      </c>
      <c r="E105" s="9" t="n">
        <v>2</v>
      </c>
      <c r="F105" s="9" t="inlineStr">
        <is>
          <t>conducting an investigation to support claims that a modification of a Science, Technology, Engineering and Mathematics (STEM) related design has improved performance</t>
        </is>
      </c>
    </row>
    <row r="106" ht="23.25" customHeight="1" s="1">
      <c r="A106" s="9" t="inlineStr">
        <is>
          <t>AC9M7ST03</t>
        </is>
      </c>
      <c r="B106" s="9" t="n">
        <v>7</v>
      </c>
      <c r="C106" s="9" t="inlineStr">
        <is>
          <t>Statistics</t>
        </is>
      </c>
      <c r="D106" s="9" t="inlineStr">
        <is>
          <t>plan and conduct statistical investigations involving data for discrete and continuous numerical variables; analyse and interpret distributions of data and report findings in terms of shape and summary statistics</t>
        </is>
      </c>
      <c r="E106" s="9" t="n">
        <v>3</v>
      </c>
      <c r="F106" s="9" t="inlineStr">
        <is>
          <t>using secondary data from the Reconciliation Barometer to conduct and report on statistical investigations relating to First Nations Australians</t>
        </is>
      </c>
    </row>
    <row r="107" ht="23.25" customHeight="1" s="1">
      <c r="A107" s="9" t="inlineStr">
        <is>
          <t>AC9M7P01</t>
        </is>
      </c>
      <c r="B107" s="9" t="n">
        <v>7</v>
      </c>
      <c r="C107" s="9" t="inlineStr">
        <is>
          <t>Probability</t>
        </is>
      </c>
      <c r="D107" s="9" t="inlineStr">
        <is>
          <t>identify the sample space for single-stage events; assign probabilities to the outcomes of these events and predict relative frequencies for related events</t>
        </is>
      </c>
      <c r="E107" s="9" t="n">
        <v>1</v>
      </c>
      <c r="F107" s="9" t="inlineStr">
        <is>
          <t>discussing the meaning of probability terminology; for example, “probability”, “sample space”, “favourable outcome”, “trial”, “experiment” and “event”</t>
        </is>
      </c>
    </row>
    <row r="108" ht="23.25" customHeight="1" s="1">
      <c r="A108" s="9" t="inlineStr">
        <is>
          <t>AC9M7P01</t>
        </is>
      </c>
      <c r="B108" s="9" t="n">
        <v>7</v>
      </c>
      <c r="C108" s="9" t="inlineStr">
        <is>
          <t>Probability</t>
        </is>
      </c>
      <c r="D108" s="9" t="inlineStr">
        <is>
          <t>identify the sample space for single-stage events; assign probabilities to the outcomes of these events and predict relative frequencies for related events</t>
        </is>
      </c>
      <c r="E108" s="9" t="n">
        <v>2</v>
      </c>
      <c r="F108" s="9" t="inlineStr">
        <is>
          <t>listing sample spaces for games involving throwing a coin or a die, spinners, or lucky dip</t>
        </is>
      </c>
    </row>
    <row r="109" ht="23.25" customHeight="1" s="1">
      <c r="A109" s="9" t="inlineStr">
        <is>
          <t>AC9M7P01</t>
        </is>
      </c>
      <c r="B109" s="9" t="n">
        <v>7</v>
      </c>
      <c r="C109" s="9" t="inlineStr">
        <is>
          <t>Probability</t>
        </is>
      </c>
      <c r="D109" s="9" t="inlineStr">
        <is>
          <t>identify the sample space for single-stage events; assign probabilities to the outcomes of these events and predict relative frequencies for related events</t>
        </is>
      </c>
      <c r="E109" s="9" t="n">
        <v>3</v>
      </c>
      <c r="F109" s="9" t="inlineStr">
        <is>
          <t>assigning the probability for throwing a 6 on a dice and using this to predict the number of times a 6 will occur when a dice is thrown multiple times</t>
        </is>
      </c>
    </row>
    <row r="110" ht="23.25" customHeight="1" s="1">
      <c r="A110" s="9" t="inlineStr">
        <is>
          <t>AC9M7P02</t>
        </is>
      </c>
      <c r="B110" s="9" t="n">
        <v>7</v>
      </c>
      <c r="C110" s="9" t="inlineStr">
        <is>
          <t>Probability</t>
        </is>
      </c>
      <c r="D110" s="9" t="inlineStr">
        <is>
          <t>conduct repeated chance experiments and run simulations with a large number of trials using digital tools; compare predictions about outcomes with observed results, explaining the differences</t>
        </is>
      </c>
      <c r="E110" s="9" t="n">
        <v>1</v>
      </c>
      <c r="F110" s="9" t="inlineStr">
        <is>
          <t>developing an understanding of the law of large numbers through using experiments and simulations to conduct large numbers of trials for seemingly random events and discussing findings</t>
        </is>
      </c>
    </row>
    <row r="111" ht="23.25" customHeight="1" s="1">
      <c r="A111" s="9" t="inlineStr">
        <is>
          <t>AC9M7P02</t>
        </is>
      </c>
      <c r="B111" s="9" t="n">
        <v>7</v>
      </c>
      <c r="C111" s="9" t="inlineStr">
        <is>
          <t>Probability</t>
        </is>
      </c>
      <c r="D111" s="9" t="inlineStr">
        <is>
          <t>conduct repeated chance experiments and run simulations with a large number of trials using digital tools; compare predictions about outcomes with observed results, explaining the differences</t>
        </is>
      </c>
      <c r="E111" s="9" t="n">
        <v>2</v>
      </c>
      <c r="F111" s="9" t="inlineStr">
        <is>
          <t>conducting simulations using online simulation tools and comparing the combined results of a large number of trials to predicted results</t>
        </is>
      </c>
    </row>
    <row r="112" ht="34.5" customHeight="1" s="1">
      <c r="A112" s="9" t="inlineStr">
        <is>
          <t>AC9M7P02</t>
        </is>
      </c>
      <c r="B112" s="9" t="n">
        <v>7</v>
      </c>
      <c r="C112" s="9" t="inlineStr">
        <is>
          <t>Probability</t>
        </is>
      </c>
      <c r="D112" s="9" t="inlineStr">
        <is>
          <t>conduct repeated chance experiments and run simulations with a large number of trials using digital tools; compare predictions about outcomes with observed results, explaining the differences</t>
        </is>
      </c>
      <c r="E112" s="9" t="n">
        <v>3</v>
      </c>
      <c r="F112" s="9" t="inlineStr">
        <is>
          <t>exploring and observing First Nations Australian children’s instructive games; for example, Koara from the Jawi and Bardi Peoples of Sunday Island in Western Australia, to investigate probability, predicting outcomes for an event and comparing with increasingly larger numbers of trials, and between observed and expected results</t>
        </is>
      </c>
    </row>
    <row r="113" ht="23.25" customHeight="1" s="1">
      <c r="A113" s="9" t="inlineStr">
        <is>
          <t>AC9M8N01</t>
        </is>
      </c>
      <c r="B113" s="9" t="n">
        <v>8</v>
      </c>
      <c r="C113" s="9" t="inlineStr">
        <is>
          <t>Number</t>
        </is>
      </c>
      <c r="D113" s="9" t="inlineStr">
        <is>
          <t>recognise irrational numbers in applied contexts, including square roots and π</t>
        </is>
      </c>
      <c r="E113" s="9" t="n">
        <v>1</v>
      </c>
      <c r="F113" s="9" t="inlineStr">
        <is>
          <t>recognising that the real number system includes irrational numbers which can be approximately located on the real number line; for example, the value of π lies somewhere between 3.141 and 3.142 that is, 3.141 &lt; π &lt; 3.142</t>
        </is>
      </c>
    </row>
    <row r="114" ht="45.75" customHeight="1" s="1">
      <c r="A114" s="9" t="inlineStr">
        <is>
          <t>AC9M8N01</t>
        </is>
      </c>
      <c r="B114" s="9" t="n">
        <v>8</v>
      </c>
      <c r="C114" s="9" t="inlineStr">
        <is>
          <t>Number</t>
        </is>
      </c>
      <c r="D114" s="9" t="inlineStr">
        <is>
          <t>recognise irrational numbers in applied contexts, including square roots and π</t>
        </is>
      </c>
      <c r="E114" s="9" t="n">
        <v>2</v>
      </c>
      <c r="F114" s="9" t="inlineStr">
        <is>
          <t>using digital tools to systematically explore contexts or situations that use irrational numbers, such as finding the length of the hypotenuse in a right-angled triangle with the other 2 sides having lengths of one metre or 2 metres and one metre; or given the area of a square, finding the length of the side where the result is irrational; or finding ratios involved with the side lengths of paper sizes A0, A1, A2, A3 and A4</t>
        </is>
      </c>
    </row>
    <row r="115" ht="15" customHeight="1" s="1">
      <c r="A115" s="9" t="inlineStr">
        <is>
          <t>AC9M8N01</t>
        </is>
      </c>
      <c r="B115" s="9" t="n">
        <v>8</v>
      </c>
      <c r="C115" s="9" t="inlineStr">
        <is>
          <t>Number</t>
        </is>
      </c>
      <c r="D115" s="9" t="inlineStr">
        <is>
          <t>recognise irrational numbers in applied contexts, including square roots and π</t>
        </is>
      </c>
      <c r="E115" s="9" t="n">
        <v>3</v>
      </c>
      <c r="F115" s="9" t="inlineStr">
        <is>
          <t>investigating the golden ratio in art and design, and historical approximations to π in different societies</t>
        </is>
      </c>
    </row>
    <row r="116" ht="23.25" customHeight="1" s="1">
      <c r="A116" s="9" t="inlineStr">
        <is>
          <t>AC9M8N01</t>
        </is>
      </c>
      <c r="B116" s="9" t="n">
        <v>8</v>
      </c>
      <c r="C116" s="9" t="inlineStr">
        <is>
          <t>Number</t>
        </is>
      </c>
      <c r="D116" s="9" t="inlineStr">
        <is>
          <t>recognise irrational numbers in applied contexts, including square roots and π</t>
        </is>
      </c>
      <c r="E116" s="9" t="n">
        <v>4</v>
      </c>
      <c r="F116" s="9" t="inlineStr">
        <is>
          <t>connecting the ratio between the circumference and diameter of any circle to the irrational value of π using circular objects and string or dynamic drawing software</t>
        </is>
      </c>
    </row>
    <row r="117" ht="34.5" customHeight="1" s="1">
      <c r="A117" s="9" t="inlineStr">
        <is>
          <t>AC9M8N02</t>
        </is>
      </c>
      <c r="B117" s="9" t="n">
        <v>8</v>
      </c>
      <c r="C117" s="9" t="inlineStr">
        <is>
          <t>Number</t>
        </is>
      </c>
      <c r="D117" s="9" t="inlineStr">
        <is>
          <t>establish and apply the exponent laws with positive integer exponents and the zero-exponent, using exponent notation with numbers</t>
        </is>
      </c>
      <c r="E117" s="9" t="n">
        <v>1</v>
      </c>
      <c r="F117" s="9" t="inlineStr">
        <is>
          <t>recognising the connection between exponent form and expanded form with the exponent laws of product of powers rule, quotient of powers rule, and power of a power rule; for example, 2³×2² can be represented as (2×2×2)×(2×2)=2⁵ and connecting the result to the addition of exponents</t>
        </is>
      </c>
    </row>
    <row r="118" ht="34.5" customHeight="1" s="1">
      <c r="A118" s="9" t="inlineStr">
        <is>
          <t>AC9M8N02</t>
        </is>
      </c>
      <c r="B118" s="9" t="n">
        <v>8</v>
      </c>
      <c r="C118" s="9" t="inlineStr">
        <is>
          <t>Number</t>
        </is>
      </c>
      <c r="D118" s="9" t="inlineStr">
        <is>
          <t>establish and apply the exponent laws with positive integer exponents and the zero-exponent, using exponent notation with numbers</t>
        </is>
      </c>
      <c r="E118" s="9" t="n">
        <v>2</v>
      </c>
      <c r="F118" s="9" t="inlineStr">
        <is>
          <t>applying the exponent laws of the product of powers rule, quotient of powers rule, power of a power rule and zero exponent individually and in combination; for example, using exponents to determine the effect on the volume of a 2 centimetre cube when the cube is enlarged to a 6 centimetre cube, 6³/2³= 2³×3³/2³=3³ , so the volume is increased by a factor of 27</t>
        </is>
      </c>
    </row>
    <row r="119" ht="23.25" customHeight="1" s="1">
      <c r="A119" s="9" t="inlineStr">
        <is>
          <t>AC9M8N02</t>
        </is>
      </c>
      <c r="B119" s="9" t="n">
        <v>8</v>
      </c>
      <c r="C119" s="9" t="inlineStr">
        <is>
          <t>Number</t>
        </is>
      </c>
      <c r="D119" s="9" t="inlineStr">
        <is>
          <t>establish and apply the exponent laws with positive integer exponents and the zero-exponent, using exponent notation with numbers</t>
        </is>
      </c>
      <c r="E119" s="9" t="n">
        <v>3</v>
      </c>
      <c r="F119" s="9" t="inlineStr">
        <is>
          <t>using digital tools to systematically explore the application of the exponent laws; observing that the bases need to be the same</t>
        </is>
      </c>
    </row>
    <row r="120" ht="23.25" customHeight="1" s="1">
      <c r="A120" s="9" t="inlineStr">
        <is>
          <t>AC9M8N02</t>
        </is>
      </c>
      <c r="B120" s="9" t="n">
        <v>8</v>
      </c>
      <c r="C120" s="9" t="inlineStr">
        <is>
          <t>Number</t>
        </is>
      </c>
      <c r="D120" s="9" t="inlineStr">
        <is>
          <t>establish and apply the exponent laws with positive integer exponents and the zero-exponent, using exponent notation with numbers</t>
        </is>
      </c>
      <c r="E120" s="9" t="n">
        <v>4</v>
      </c>
      <c r="F120" s="9" t="inlineStr">
        <is>
          <t>using examples such as 3⁴/3⁴=1, and 3⁴⁻⁴=3⁰ to illustrate the necessity that for any non-zero natural number n, n⁰=1</t>
        </is>
      </c>
    </row>
    <row r="121" ht="23.25" customHeight="1" s="1">
      <c r="A121" s="9" t="inlineStr">
        <is>
          <t>AC9M8N03</t>
        </is>
      </c>
      <c r="B121" s="9" t="n">
        <v>8</v>
      </c>
      <c r="C121" s="9" t="inlineStr">
        <is>
          <t>Number</t>
        </is>
      </c>
      <c r="D121" s="9" t="inlineStr">
        <is>
          <t>recognise terminating and recurring decimals, using digital tools as appropriate</t>
        </is>
      </c>
      <c r="E121" s="9" t="n">
        <v>1</v>
      </c>
      <c r="F121" s="9" t="inlineStr">
        <is>
          <t>identifying when a fraction has a terminating decimal expansion from the prime factorisation of its denominator; for example, 7/24=0.2916 does not have a terminating decimal expansion, while 7/25=0.28 does</t>
        </is>
      </c>
    </row>
    <row r="122" ht="23.25" customHeight="1" s="1">
      <c r="A122" s="9" t="inlineStr">
        <is>
          <t>AC9M8N03</t>
        </is>
      </c>
      <c r="B122" s="9" t="n">
        <v>8</v>
      </c>
      <c r="C122" s="9" t="inlineStr">
        <is>
          <t>Number</t>
        </is>
      </c>
      <c r="D122" s="9" t="inlineStr">
        <is>
          <t>recognise terminating and recurring decimals, using digital tools as appropriate</t>
        </is>
      </c>
      <c r="E122" s="9" t="n">
        <v>2</v>
      </c>
      <c r="F122" s="9" t="inlineStr">
        <is>
          <t>identifying terminating, recurring and non-terminating decimals and choosing their appropriate representations such as 1/3 is represented as 0.3</t>
        </is>
      </c>
    </row>
    <row r="123" ht="23.25" customHeight="1" s="1">
      <c r="A123" s="9" t="inlineStr">
        <is>
          <t>AC9M8N04</t>
        </is>
      </c>
      <c r="B123" s="9" t="n">
        <v>8</v>
      </c>
      <c r="C123" s="9" t="inlineStr">
        <is>
          <t>Number</t>
        </is>
      </c>
      <c r="D123" s="9" t="inlineStr">
        <is>
          <t>use the 4 operations with integers and with rational numbers, choosing and using efficient strategies and digital tools where appropriate</t>
        </is>
      </c>
      <c r="E123" s="9" t="n">
        <v>1</v>
      </c>
      <c r="F123" s="9" t="inlineStr">
        <is>
          <t>using patterns to assist in establishing the rules for the multiplication and division of integers</t>
        </is>
      </c>
    </row>
    <row r="124" ht="23.25" customHeight="1" s="1">
      <c r="A124" s="9" t="inlineStr">
        <is>
          <t>AC9M8N04</t>
        </is>
      </c>
      <c r="B124" s="9" t="n">
        <v>8</v>
      </c>
      <c r="C124" s="9" t="inlineStr">
        <is>
          <t>Number</t>
        </is>
      </c>
      <c r="D124" s="9" t="inlineStr">
        <is>
          <t>use the 4 operations with integers and with rational numbers, choosing and using efficient strategies and digital tools where appropriate</t>
        </is>
      </c>
      <c r="E124" s="9" t="n">
        <v>2</v>
      </c>
      <c r="F124" s="9" t="inlineStr">
        <is>
          <t>applying and explaining efficient strategies such as using the commutative or associative property for regrouping, partitioning, place value, patterning, multiplication or division facts to solve problems involving positive and negative integers, fractions and decimals</t>
        </is>
      </c>
    </row>
    <row r="125" ht="23.25" customHeight="1" s="1">
      <c r="A125" s="9" t="inlineStr">
        <is>
          <t>AC9M8N04</t>
        </is>
      </c>
      <c r="B125" s="9" t="n">
        <v>8</v>
      </c>
      <c r="C125" s="9" t="inlineStr">
        <is>
          <t>Number</t>
        </is>
      </c>
      <c r="D125" s="9" t="inlineStr">
        <is>
          <t>use the 4 operations with integers and with rational numbers, choosing and using efficient strategies and digital tools where appropriate</t>
        </is>
      </c>
      <c r="E125" s="9" t="n">
        <v>3</v>
      </c>
      <c r="F125" s="9" t="inlineStr">
        <is>
          <t>recognising the effect of sign in the multiplication of integers; for example, (-1)⁴=1 and (-1)⁵=-1</t>
        </is>
      </c>
    </row>
    <row r="126" ht="45.75" customHeight="1" s="1">
      <c r="A126" s="9" t="inlineStr">
        <is>
          <t>AC9M8N05</t>
        </is>
      </c>
      <c r="B126" s="9" t="n">
        <v>8</v>
      </c>
      <c r="C126" s="9" t="inlineStr">
        <is>
          <t>Number</t>
        </is>
      </c>
      <c r="D126" s="9" t="inlineStr">
        <is>
          <t>use mathematical modelling to solve practical problems involving rational numbers and percentages, including financial contexts; formulate problems, choosing efficient calculation strategies and using digital tools where appropriate; interpret and communicate solutions in terms of the situation, reviewing the appropriateness of the model</t>
        </is>
      </c>
      <c r="E126" s="9" t="n">
        <v>1</v>
      </c>
      <c r="F126" s="9" t="inlineStr">
        <is>
          <t>modelling situations involving weather and environmental contexts including temperature or sea depths by applying operations to positive and negative rational numbers; for example, involving average temperature increases and decreases</t>
        </is>
      </c>
    </row>
    <row r="127" ht="45.75" customHeight="1" s="1">
      <c r="A127" s="9" t="inlineStr">
        <is>
          <t>AC9M8N05</t>
        </is>
      </c>
      <c r="B127" s="9" t="n">
        <v>8</v>
      </c>
      <c r="C127" s="9" t="inlineStr">
        <is>
          <t>Number</t>
        </is>
      </c>
      <c r="D127" s="9" t="inlineStr">
        <is>
          <t>use mathematical modelling to solve practical problems involving rational numbers and percentages, including financial contexts; formulate problems, choosing efficient calculation strategies and using digital tools where appropriate; interpret and communicate solutions in terms of the situation, reviewing the appropriateness of the model</t>
        </is>
      </c>
      <c r="E127" s="9" t="n">
        <v>2</v>
      </c>
      <c r="F127" s="9" t="inlineStr">
        <is>
          <t>modelling situations that involve percentage increases or decreases and explaining why it is an increase or decrease, such as mark-ups, discounts, Goods and Services Tax, changes in populations or recycling rates</t>
        </is>
      </c>
    </row>
    <row r="128" ht="45.75" customHeight="1" s="1">
      <c r="A128" s="9" t="inlineStr">
        <is>
          <t>AC9M8N05</t>
        </is>
      </c>
      <c r="B128" s="9" t="n">
        <v>8</v>
      </c>
      <c r="C128" s="9" t="inlineStr">
        <is>
          <t>Number</t>
        </is>
      </c>
      <c r="D128" s="9" t="inlineStr">
        <is>
          <t>use mathematical modelling to solve practical problems involving rational numbers and percentages, including financial contexts; formulate problems, choosing efficient calculation strategies and using digital tools where appropriate; interpret and communicate solutions in terms of the situation, reviewing the appropriateness of the model</t>
        </is>
      </c>
      <c r="E128" s="9" t="n">
        <v>3</v>
      </c>
      <c r="F128" s="9" t="inlineStr">
        <is>
          <t>modelling situations involving personal income tax, interpreting tax tables to determine income tax at various levels of income, including overall percentage of income allocated to tax</t>
        </is>
      </c>
    </row>
    <row r="129" ht="45.75" customHeight="1" s="1">
      <c r="A129" s="9" t="inlineStr">
        <is>
          <t>AC9M8N05</t>
        </is>
      </c>
      <c r="B129" s="9" t="n">
        <v>8</v>
      </c>
      <c r="C129" s="9" t="inlineStr">
        <is>
          <t>Number</t>
        </is>
      </c>
      <c r="D129" s="9" t="inlineStr">
        <is>
          <t>use mathematical modelling to solve practical problems involving rational numbers and percentages, including financial contexts; formulate problems, choosing efficient calculation strategies and using digital tools where appropriate; interpret and communicate solutions in terms of the situation, reviewing the appropriateness of the model</t>
        </is>
      </c>
      <c r="E129" s="9" t="n">
        <v>4</v>
      </c>
      <c r="F129" s="9" t="inlineStr">
        <is>
          <t>modelling situations involving percentage increase or decrease such as market trends, effects on population, or effects on the environment over extended time periods</t>
        </is>
      </c>
    </row>
    <row r="130" ht="34.5" customHeight="1" s="1">
      <c r="A130" s="9" t="inlineStr">
        <is>
          <t>AC9M8A01</t>
        </is>
      </c>
      <c r="B130" s="9" t="n">
        <v>8</v>
      </c>
      <c r="C130" s="9" t="inlineStr">
        <is>
          <t>Algebra</t>
        </is>
      </c>
      <c r="D130" s="9" t="inlineStr">
        <is>
          <t>create, expand, factorise, rearrange and simplify linear expressions, applying the associative, commutative, identity, distributive and inverse properties</t>
        </is>
      </c>
      <c r="E130" s="9" t="n">
        <v>1</v>
      </c>
      <c r="F130" s="9" t="inlineStr">
        <is>
          <t>rearranging and simplifying linear expressions involving variables with integer coefficients and constants; using manipulatives such as algebra tiles to support calculations; for example, using manipulatives to demonstrate that 2x+4=2(x+2) , 3(a-b)=3a-3b, or 5(m+2n)+3m-4n=5m+10n+3m-4n=8m+6n</t>
        </is>
      </c>
    </row>
    <row r="131" ht="23.25" customHeight="1" s="1">
      <c r="A131" s="9" t="inlineStr">
        <is>
          <t>AC9M8A01</t>
        </is>
      </c>
      <c r="B131" s="9" t="n">
        <v>8</v>
      </c>
      <c r="C131" s="9" t="inlineStr">
        <is>
          <t>Algebra</t>
        </is>
      </c>
      <c r="D131" s="9" t="inlineStr">
        <is>
          <t>create, expand, factorise, rearrange and simplify linear expressions, applying the associative, commutative, identity, distributive and inverse properties</t>
        </is>
      </c>
      <c r="E131" s="9" t="n">
        <v>2</v>
      </c>
      <c r="F131" s="9" t="inlineStr">
        <is>
          <t>demonstrating the relationship between factorising and expanding linear expressions using manipulatives, such as algebra tiles or area models, and describing with mathematical language</t>
        </is>
      </c>
    </row>
    <row r="132" ht="23.25" customHeight="1" s="1">
      <c r="A132" s="9" t="inlineStr">
        <is>
          <t>AC9M8A01</t>
        </is>
      </c>
      <c r="B132" s="9" t="n">
        <v>8</v>
      </c>
      <c r="C132" s="9" t="inlineStr">
        <is>
          <t>Algebra</t>
        </is>
      </c>
      <c r="D132" s="9" t="inlineStr">
        <is>
          <t>create, expand, factorise, rearrange and simplify linear expressions, applying the associative, commutative, identity, distributive and inverse properties</t>
        </is>
      </c>
      <c r="E132" s="9" t="n">
        <v>3</v>
      </c>
      <c r="F132" s="9" t="inlineStr">
        <is>
          <t>using the distributive, associative, commutative, identity and inverse properties to expand and factorise algebraic expressions using strategies such as the area model</t>
        </is>
      </c>
    </row>
    <row r="133" ht="23.25" customHeight="1" s="1">
      <c r="A133" s="9" t="inlineStr">
        <is>
          <t>AC9M8A02</t>
        </is>
      </c>
      <c r="B133" s="9" t="n">
        <v>8</v>
      </c>
      <c r="C133" s="9" t="inlineStr">
        <is>
          <t>Algebra</t>
        </is>
      </c>
      <c r="D133" s="9" t="inlineStr">
        <is>
          <t>graph linear relations on the Cartesian plane using digital tools where appropriate; solve linear equations and one-variable inequalities using graphical and algebraic techniques; verify solutions by substitution</t>
        </is>
      </c>
      <c r="E133" s="9" t="n">
        <v>1</v>
      </c>
      <c r="F133" s="9" t="inlineStr">
        <is>
          <t>recognising that in a table of values, if the first difference between consecutive values of the dependent variable is constant, then it is a linear relation</t>
        </is>
      </c>
    </row>
    <row r="134" ht="23.25" customHeight="1" s="1">
      <c r="A134" s="9" t="inlineStr">
        <is>
          <t>AC9M8A02</t>
        </is>
      </c>
      <c r="B134" s="9" t="n">
        <v>8</v>
      </c>
      <c r="C134" s="9" t="inlineStr">
        <is>
          <t>Algebra</t>
        </is>
      </c>
      <c r="D134" s="9" t="inlineStr">
        <is>
          <t>graph linear relations on the Cartesian plane using digital tools where appropriate; solve linear equations and one-variable inequalities using graphical and algebraic techniques; verify solutions by substitution</t>
        </is>
      </c>
      <c r="E134" s="9" t="n">
        <v>2</v>
      </c>
      <c r="F134" s="9" t="inlineStr">
        <is>
          <t>graphing linear functions and relations of the form x=a , y=a , x ≤a , x&gt;a , y ≤a , y&gt;a on the Cartesian plane for known values of a</t>
        </is>
      </c>
    </row>
    <row r="135" ht="23.25" customHeight="1" s="1">
      <c r="A135" s="9" t="inlineStr">
        <is>
          <t>AC9M8A02</t>
        </is>
      </c>
      <c r="B135" s="9" t="n">
        <v>8</v>
      </c>
      <c r="C135" s="9" t="inlineStr">
        <is>
          <t>Algebra</t>
        </is>
      </c>
      <c r="D135" s="9" t="inlineStr">
        <is>
          <t>graph linear relations on the Cartesian plane using digital tools where appropriate; solve linear equations and one-variable inequalities using graphical and algebraic techniques; verify solutions by substitution</t>
        </is>
      </c>
      <c r="E135" s="9" t="n">
        <v>3</v>
      </c>
      <c r="F135" s="9" t="inlineStr">
        <is>
          <t>completing a table of values, plotting the resulting points on the Cartesian plane and determining whether the relationship is linear</t>
        </is>
      </c>
    </row>
    <row r="136" ht="23.25" customHeight="1" s="1">
      <c r="A136" s="9" t="inlineStr">
        <is>
          <t>AC9M8A02</t>
        </is>
      </c>
      <c r="B136" s="9" t="n">
        <v>8</v>
      </c>
      <c r="C136" s="9" t="inlineStr">
        <is>
          <t>Algebra</t>
        </is>
      </c>
      <c r="D136" s="9" t="inlineStr">
        <is>
          <t>graph linear relations on the Cartesian plane using digital tools where appropriate; solve linear equations and one-variable inequalities using graphical and algebraic techniques; verify solutions by substitution</t>
        </is>
      </c>
      <c r="E136" s="9" t="n">
        <v>4</v>
      </c>
      <c r="F136" s="9" t="inlineStr">
        <is>
          <t>graphing the linear relationship ax+b=c for given values of a, b and c and identifying from the graph where ax+b &lt;c or where ax+b &gt;c</t>
        </is>
      </c>
    </row>
    <row r="137" ht="23.25" customHeight="1" s="1">
      <c r="A137" s="9" t="inlineStr">
        <is>
          <t>AC9M8A02</t>
        </is>
      </c>
      <c r="B137" s="9" t="n">
        <v>8</v>
      </c>
      <c r="C137" s="9" t="inlineStr">
        <is>
          <t>Algebra</t>
        </is>
      </c>
      <c r="D137" s="9" t="inlineStr">
        <is>
          <t>graph linear relations on the Cartesian plane using digital tools where appropriate; solve linear equations and one-variable inequalities using graphical and algebraic techniques; verify solutions by substitution</t>
        </is>
      </c>
      <c r="E137" s="9" t="n">
        <v>5</v>
      </c>
      <c r="F137" s="9" t="inlineStr">
        <is>
          <t>solving linear equations of the form ax+b=c and one-variable inequalities of the form ax+b &lt;c or ax+b &gt;c where a &gt; 0 using inverse operations and digital tools, and checking solutions by substitution</t>
        </is>
      </c>
    </row>
    <row r="138" ht="23.25" customHeight="1" s="1">
      <c r="A138" s="9" t="inlineStr">
        <is>
          <t>AC9M8A02</t>
        </is>
      </c>
      <c r="B138" s="9" t="n">
        <v>8</v>
      </c>
      <c r="C138" s="9" t="inlineStr">
        <is>
          <t>Algebra</t>
        </is>
      </c>
      <c r="D138" s="9" t="inlineStr">
        <is>
          <t>graph linear relations on the Cartesian plane using digital tools where appropriate; solve linear equations and one-variable inequalities using graphical and algebraic techniques; verify solutions by substitution</t>
        </is>
      </c>
      <c r="E138" s="9" t="n">
        <v>6</v>
      </c>
      <c r="F138" s="9" t="inlineStr">
        <is>
          <t>solving linear equations such as 3x+7=6x-9 , representing these graphically, and verifying solutions by substitution</t>
        </is>
      </c>
    </row>
    <row r="139" ht="45.75" customHeight="1" s="1">
      <c r="A139" s="9" t="inlineStr">
        <is>
          <t>AC9M8A03</t>
        </is>
      </c>
      <c r="B139" s="9" t="n">
        <v>8</v>
      </c>
      <c r="C139" s="9" t="inlineStr">
        <is>
          <t>Algebra</t>
        </is>
      </c>
      <c r="D139" s="9" t="inlineStr">
        <is>
          <t>use mathematical modelling to solve applied problems involving linear relations , including financial contexts; formulate problems with linear functions, choosing a representation; interpret and communicate solutions in terms of the situation, reviewing the appropriateness of the model</t>
        </is>
      </c>
      <c r="E139" s="9" t="n">
        <v>1</v>
      </c>
      <c r="F139" s="9" t="inlineStr">
        <is>
          <t>modelling situations involving linear functions, including practical contexts such as taxi fares involving flag fall fees, motion in a straight line at a constant speed, trade quotes involving call out fees, cooking that includes resting or cooling times, or water leakage from water tanks, interpreting the constant rate of change and initial value in context, and identifying when values of a model lie within a given range</t>
        </is>
      </c>
    </row>
    <row r="140" ht="34.5" customHeight="1" s="1">
      <c r="A140" s="9" t="inlineStr">
        <is>
          <t>AC9M8A03</t>
        </is>
      </c>
      <c r="B140" s="9" t="n">
        <v>8</v>
      </c>
      <c r="C140" s="9" t="inlineStr">
        <is>
          <t>Algebra</t>
        </is>
      </c>
      <c r="D140" s="9" t="inlineStr">
        <is>
          <t>use mathematical modelling to solve applied problems involving linear relations , including financial contexts; formulate problems with linear functions, choosing a representation; interpret and communicate solutions in terms of the situation, reviewing the appropriateness of the model</t>
        </is>
      </c>
      <c r="E140" s="9" t="n">
        <v>2</v>
      </c>
      <c r="F140" s="9" t="inlineStr">
        <is>
          <t>modelling problems in practical situations and interpreting solutions within the context of the problem, including giving attention to all units of measure and whether results are suitable; for example, once a water tank is empty no more water can flow from it</t>
        </is>
      </c>
    </row>
    <row r="141" ht="34.5" customHeight="1" s="1">
      <c r="A141" s="9" t="inlineStr">
        <is>
          <t>AC9M8A03</t>
        </is>
      </c>
      <c r="B141" s="9" t="n">
        <v>8</v>
      </c>
      <c r="C141" s="9" t="inlineStr">
        <is>
          <t>Algebra</t>
        </is>
      </c>
      <c r="D141" s="9" t="inlineStr">
        <is>
          <t>use mathematical modelling to solve applied problems involving linear relations , including financial contexts; formulate problems with linear functions, choosing a representation; interpret and communicate solutions in terms of the situation, reviewing the appropriateness of the model</t>
        </is>
      </c>
      <c r="E141" s="9" t="n">
        <v>3</v>
      </c>
      <c r="F141" s="9" t="inlineStr">
        <is>
          <t>modelling financial problems involving pay rates, using a table of values to represent the pay amounts and hours worked using an hourly rate of pay, and graphing the relationship to make inferences</t>
        </is>
      </c>
    </row>
    <row r="142" ht="34.5" customHeight="1" s="1">
      <c r="A142" s="9" t="inlineStr">
        <is>
          <t>AC9M8A03</t>
        </is>
      </c>
      <c r="B142" s="9" t="n">
        <v>8</v>
      </c>
      <c r="C142" s="9" t="inlineStr">
        <is>
          <t>Algebra</t>
        </is>
      </c>
      <c r="D142" s="9" t="inlineStr">
        <is>
          <t>use mathematical modelling to solve applied problems involving linear relations , including financial contexts; formulate problems with linear functions, choosing a representation; interpret and communicate solutions in terms of the situation, reviewing the appropriateness of the model</t>
        </is>
      </c>
      <c r="E142" s="9" t="n">
        <v>4</v>
      </c>
      <c r="F142" s="9" t="inlineStr">
        <is>
          <t>modelling patterns on Country/Place and exploring their connections and meaning to linear equations, using the model as a predictive tool and critiquing results by connecting back to Country/Place</t>
        </is>
      </c>
    </row>
    <row r="143" ht="34.5" customHeight="1" s="1">
      <c r="A143" s="9" t="inlineStr">
        <is>
          <t>AC9M8A04</t>
        </is>
      </c>
      <c r="B143" s="9" t="n">
        <v>8</v>
      </c>
      <c r="C143" s="9" t="inlineStr">
        <is>
          <t>Algebra</t>
        </is>
      </c>
      <c r="D143" s="9" t="inlineStr">
        <is>
          <t>experiment with linear functions and relations using digital tools, making and testing conjectures and generalising emerging patterns</t>
        </is>
      </c>
      <c r="E143" s="9" t="n">
        <v>1</v>
      </c>
      <c r="F143" s="9" t="inlineStr">
        <is>
          <t>using graphing software to investigate the effect of systematically varying parameters of linear functions on the corresponding graphs, making and testing conjectures; for example, making a conjecture that if the co-efficient of x is negative, then the line will slope down from left to right</t>
        </is>
      </c>
    </row>
    <row r="144" ht="23.25" customHeight="1" s="1">
      <c r="A144" s="9" t="inlineStr">
        <is>
          <t>AC9M8A04</t>
        </is>
      </c>
      <c r="B144" s="9" t="n">
        <v>8</v>
      </c>
      <c r="C144" s="9" t="inlineStr">
        <is>
          <t>Algebra</t>
        </is>
      </c>
      <c r="D144" s="9" t="inlineStr">
        <is>
          <t>experiment with linear functions and relations using digital tools, making and testing conjectures and generalising emerging patterns</t>
        </is>
      </c>
      <c r="E144" s="9" t="n">
        <v>2</v>
      </c>
      <c r="F144" s="9" t="inlineStr">
        <is>
          <t>using graphing software to systematically contrast the graphs of y=2x, -y=2x, y=-2x and -y=-2x with those of y&lt;2x, -y&lt;2x, y&lt;-2x and -y&lt;-2x and those of y&gt;2x, -y&gt;2x, y&gt;-2x and -y&gt;-2x, making and testing conjectures about sign and direction of the inequality</t>
        </is>
      </c>
    </row>
    <row r="145" ht="23.25" customHeight="1" s="1">
      <c r="A145" s="9" t="inlineStr">
        <is>
          <t>AC9M8A04</t>
        </is>
      </c>
      <c r="B145" s="9" t="n">
        <v>8</v>
      </c>
      <c r="C145" s="9" t="inlineStr">
        <is>
          <t>Algebra</t>
        </is>
      </c>
      <c r="D145" s="9" t="inlineStr">
        <is>
          <t>experiment with linear functions and relations using digital tools, making and testing conjectures and generalising emerging patterns</t>
        </is>
      </c>
      <c r="E145" s="9" t="n">
        <v>3</v>
      </c>
      <c r="F145" s="9" t="inlineStr">
        <is>
          <t>using digital tools to investigate integer solutions to equations such as 2x+3y=48</t>
        </is>
      </c>
    </row>
    <row r="146" ht="15" customHeight="1" s="1">
      <c r="A146" s="9" t="inlineStr">
        <is>
          <t>AC9M8M01</t>
        </is>
      </c>
      <c r="B146" s="9" t="n">
        <v>8</v>
      </c>
      <c r="C146" s="9" t="inlineStr">
        <is>
          <t>Measurement</t>
        </is>
      </c>
      <c r="D146" s="9" t="inlineStr">
        <is>
          <t>solve problems involving the area and perimeter of irregular and composite shapes using appropriate units</t>
        </is>
      </c>
      <c r="E146" s="9" t="n">
        <v>1</v>
      </c>
      <c r="F146" s="9" t="inlineStr">
        <is>
          <t>determining the area of composite shapes by composing or decomposing shapes</t>
        </is>
      </c>
    </row>
    <row r="147" ht="34.5" customHeight="1" s="1">
      <c r="A147" s="9" t="inlineStr">
        <is>
          <t>AC9M8M01</t>
        </is>
      </c>
      <c r="B147" s="9" t="n">
        <v>8</v>
      </c>
      <c r="C147" s="9" t="inlineStr">
        <is>
          <t>Measurement</t>
        </is>
      </c>
      <c r="D147" s="9" t="inlineStr">
        <is>
          <t>solve problems involving the area and perimeter of irregular and composite shapes using appropriate units</t>
        </is>
      </c>
      <c r="E147" s="9" t="n">
        <v>2</v>
      </c>
      <c r="F147" s="9" t="inlineStr">
        <is>
          <t>using arrays and rectangles to approximate the area of irregular shapes in situations such as a council needing to work out how much mosquito spray to use for a swamp area or a farmer needing to work out how much seed, fertilizer and herbicide are required to cover a paddock</t>
        </is>
      </c>
    </row>
    <row r="148" ht="23.25" customHeight="1" s="1">
      <c r="A148" s="9" t="inlineStr">
        <is>
          <t>AC9M8M01</t>
        </is>
      </c>
      <c r="B148" s="9" t="n">
        <v>8</v>
      </c>
      <c r="C148" s="9" t="inlineStr">
        <is>
          <t>Measurement</t>
        </is>
      </c>
      <c r="D148" s="9" t="inlineStr">
        <is>
          <t>solve problems involving the area and perimeter of irregular and composite shapes using appropriate units</t>
        </is>
      </c>
      <c r="E148" s="9" t="n">
        <v>3</v>
      </c>
      <c r="F148" s="9" t="inlineStr">
        <is>
          <t>determining the perimeter and area of irregular shapes by sums of increasingly accurate covering measurements, such as line segments and grids; for example, using millimetres or square millimetres as opposed to centimetres or square centimetres</t>
        </is>
      </c>
    </row>
    <row r="149" ht="23.25" customHeight="1" s="1">
      <c r="A149" s="9" t="inlineStr">
        <is>
          <t>AC9M8M02</t>
        </is>
      </c>
      <c r="B149" s="9" t="n">
        <v>8</v>
      </c>
      <c r="C149" s="9" t="inlineStr">
        <is>
          <t>Measurement</t>
        </is>
      </c>
      <c r="D149" s="9" t="inlineStr">
        <is>
          <t>solve problems involving the volume and capacity of right prisms using appropriate units</t>
        </is>
      </c>
      <c r="E149" s="9" t="n">
        <v>1</v>
      </c>
      <c r="F149" s="9" t="inlineStr">
        <is>
          <t>using models to demonstrate the number of cubic centimetres in a cubic metre and relating this to capacities of millilitres and litres, recognising that one millilitre is equivalent to one cm3</t>
        </is>
      </c>
    </row>
    <row r="150" ht="15" customHeight="1" s="1">
      <c r="A150" s="9" t="inlineStr">
        <is>
          <t>AC9M8M02</t>
        </is>
      </c>
      <c r="B150" s="9" t="n">
        <v>8</v>
      </c>
      <c r="C150" s="9" t="inlineStr">
        <is>
          <t>Measurement</t>
        </is>
      </c>
      <c r="D150" s="9" t="inlineStr">
        <is>
          <t>solve problems involving the volume and capacity of right prisms using appropriate units</t>
        </is>
      </c>
      <c r="E150" s="9" t="n">
        <v>2</v>
      </c>
      <c r="F150" s="9" t="inlineStr">
        <is>
          <t>solving practical problems involving volume and capacity; for example, optimal packaging and production</t>
        </is>
      </c>
    </row>
    <row r="151" ht="34.5" customHeight="1" s="1">
      <c r="A151" s="9" t="inlineStr">
        <is>
          <t>AC9M8M02</t>
        </is>
      </c>
      <c r="B151" s="9" t="n">
        <v>8</v>
      </c>
      <c r="C151" s="9" t="inlineStr">
        <is>
          <t>Measurement</t>
        </is>
      </c>
      <c r="D151" s="9" t="inlineStr">
        <is>
          <t>solve problems involving the volume and capacity of right prisms using appropriate units</t>
        </is>
      </c>
      <c r="E151" s="9" t="n">
        <v>3</v>
      </c>
      <c r="F151" s="9" t="inlineStr">
        <is>
          <t>choosing which measurements are useful to consider when solving practical problems in context; for example, when purchasing a new washing machine, the dimensions are useful when determining whether it will fit in the available space in the laundry and its capacity is useful when considering the maximum washing load it can carry</t>
        </is>
      </c>
    </row>
    <row r="152" ht="34.5" customHeight="1" s="1">
      <c r="A152" s="9" t="inlineStr">
        <is>
          <t>AC9M8M02</t>
        </is>
      </c>
      <c r="B152" s="9" t="n">
        <v>8</v>
      </c>
      <c r="C152" s="9" t="inlineStr">
        <is>
          <t>Measurement</t>
        </is>
      </c>
      <c r="D152" s="9" t="inlineStr">
        <is>
          <t>solve problems involving the volume and capacity of right prisms using appropriate units</t>
        </is>
      </c>
      <c r="E152" s="9" t="n">
        <v>4</v>
      </c>
      <c r="F152" s="9" t="inlineStr">
        <is>
          <t>investigating, reasoning and finding solutions to measurement problems involving dimensions, rates, volume and capacity of objects; for example, given the dimensions of a pool and the rate of flow from a tap, determining how long it will take to fill the pool to its normal capacity</t>
        </is>
      </c>
    </row>
    <row r="153" ht="23.25" customHeight="1" s="1">
      <c r="A153" s="9" t="inlineStr">
        <is>
          <t>AC9M8M03</t>
        </is>
      </c>
      <c r="B153" s="9" t="n">
        <v>8</v>
      </c>
      <c r="C153" s="9" t="inlineStr">
        <is>
          <t>Measurement</t>
        </is>
      </c>
      <c r="D153" s="9" t="inlineStr">
        <is>
          <t>solve problems involving the circumference and area of a circle using formulas and appropriate units</t>
        </is>
      </c>
      <c r="E153" s="9" t="n">
        <v>1</v>
      </c>
      <c r="F153" s="9" t="inlineStr">
        <is>
          <t>deducing that the area of a circle is between 2 radius squares and 4 radius squares, and using 3 × radius2 as a rough estimate for the area of a circle</t>
        </is>
      </c>
    </row>
    <row r="154" ht="23.25" customHeight="1" s="1">
      <c r="A154" s="9" t="inlineStr">
        <is>
          <t>AC9M8M03</t>
        </is>
      </c>
      <c r="B154" s="9" t="n">
        <v>8</v>
      </c>
      <c r="C154" s="9" t="inlineStr">
        <is>
          <t>Measurement</t>
        </is>
      </c>
      <c r="D154" s="9" t="inlineStr">
        <is>
          <t>solve problems involving the circumference and area of a circle using formulas and appropriate units</t>
        </is>
      </c>
      <c r="E154" s="9" t="n">
        <v>2</v>
      </c>
      <c r="F154" s="9" t="inlineStr">
        <is>
          <t>investigating the area of circles using a square grid or by rearranging a circle divided into smaller and smaller sectors or slices to resemble a close approximation of a rectangle</t>
        </is>
      </c>
    </row>
    <row r="155" ht="34.5" customHeight="1" s="1">
      <c r="A155" s="9" t="inlineStr">
        <is>
          <t>AC9M8M03</t>
        </is>
      </c>
      <c r="B155" s="9" t="n">
        <v>8</v>
      </c>
      <c r="C155" s="9" t="inlineStr">
        <is>
          <t>Measurement</t>
        </is>
      </c>
      <c r="D155" s="9" t="inlineStr">
        <is>
          <t>solve problems involving the circumference and area of a circle using formulas and appropriate units</t>
        </is>
      </c>
      <c r="E155" s="9" t="n">
        <v>3</v>
      </c>
      <c r="F155" s="9" t="inlineStr">
        <is>
          <t>applying the formulas for the area and circumference of a circle to solve practical problems, and using one of the measures of radius, diameter, circumference or area to deduce the value of the other measures; for example, determining the length of material needed to edge a round table, given its dimensions as the area of the tabletop</t>
        </is>
      </c>
    </row>
    <row r="156" ht="15" customHeight="1" s="1">
      <c r="A156" s="9" t="inlineStr">
        <is>
          <t>AC9M8M03</t>
        </is>
      </c>
      <c r="B156" s="9" t="n">
        <v>8</v>
      </c>
      <c r="C156" s="9" t="inlineStr">
        <is>
          <t>Measurement</t>
        </is>
      </c>
      <c r="D156" s="9" t="inlineStr">
        <is>
          <t>solve problems involving the circumference and area of a circle using formulas and appropriate units</t>
        </is>
      </c>
      <c r="E156" s="9" t="n">
        <v>4</v>
      </c>
      <c r="F156" s="9" t="inlineStr">
        <is>
          <t>exploring traditional weaving designs by First Nations Australians and investigating the significance and use of circles</t>
        </is>
      </c>
    </row>
    <row r="157" ht="23.25" customHeight="1" s="1">
      <c r="A157" s="9" t="inlineStr">
        <is>
          <t>AC9M8M04</t>
        </is>
      </c>
      <c r="B157" s="9" t="n">
        <v>8</v>
      </c>
      <c r="C157" s="9" t="inlineStr">
        <is>
          <t>Measurement</t>
        </is>
      </c>
      <c r="D157" s="9" t="inlineStr">
        <is>
          <t>solve problems involving duration, including using 12- and 24-hour time across multiple time zones</t>
        </is>
      </c>
      <c r="E157" s="9" t="n">
        <v>1</v>
      </c>
      <c r="F157" s="9" t="inlineStr">
        <is>
          <t>using digital tools to investigate time zones around the world and convert from one zone to another, such as time in Perth, Western Australia compared to Suva in Fiji or Toronto in Canada</t>
        </is>
      </c>
    </row>
    <row r="158" ht="34.5" customHeight="1" s="1">
      <c r="A158" s="9" t="inlineStr">
        <is>
          <t>AC9M8M04</t>
        </is>
      </c>
      <c r="B158" s="9" t="n">
        <v>8</v>
      </c>
      <c r="C158" s="9" t="inlineStr">
        <is>
          <t>Measurement</t>
        </is>
      </c>
      <c r="D158" s="9" t="inlineStr">
        <is>
          <t>solve problems involving duration, including using 12- and 24-hour time across multiple time zones</t>
        </is>
      </c>
      <c r="E158" s="9" t="n">
        <v>2</v>
      </c>
      <c r="F158" s="9" t="inlineStr">
        <is>
          <t>recognising the challenges of planning regular virtual meeting times for a company that has both international staff and staff within different states and territories, and the impact daylight savings has due to multiple time zones, explaining the mathematical language used to communicate current time such as Coordinated Universal Time (UTC)+8, AEST, ACST and AWST</t>
        </is>
      </c>
    </row>
    <row r="159" ht="15" customHeight="1" s="1">
      <c r="A159" s="9" t="inlineStr">
        <is>
          <t>AC9M8M04</t>
        </is>
      </c>
      <c r="B159" s="9" t="n">
        <v>8</v>
      </c>
      <c r="C159" s="9" t="inlineStr">
        <is>
          <t>Measurement</t>
        </is>
      </c>
      <c r="D159" s="9" t="inlineStr">
        <is>
          <t>solve problems involving duration, including using 12- and 24-hour time across multiple time zones</t>
        </is>
      </c>
      <c r="E159" s="9" t="n">
        <v>3</v>
      </c>
      <c r="F159" s="9" t="inlineStr">
        <is>
          <t>planning an international travel itinerary that covers destinations in different time zones across Asia</t>
        </is>
      </c>
    </row>
    <row r="160" ht="23.25" customHeight="1" s="1">
      <c r="A160" s="9" t="inlineStr">
        <is>
          <t>AC9M8M05</t>
        </is>
      </c>
      <c r="B160" s="9" t="n">
        <v>8</v>
      </c>
      <c r="C160" s="9" t="inlineStr">
        <is>
          <t>Measurement</t>
        </is>
      </c>
      <c r="D160" s="9" t="inlineStr">
        <is>
          <t>recognise and use rates to solve problems involving the comparison of 2 related quantities of different units of measure</t>
        </is>
      </c>
      <c r="E160" s="9" t="n">
        <v>1</v>
      </c>
      <c r="F160" s="9" t="inlineStr">
        <is>
          <t>identifying examples of rates in the real world, including constant rates, rate of pay, cost per kilogram, recipes, simple interest and average rates</t>
        </is>
      </c>
    </row>
    <row r="161" ht="23.25" customHeight="1" s="1">
      <c r="A161" s="9" t="inlineStr">
        <is>
          <t>AC9M8M05</t>
        </is>
      </c>
      <c r="B161" s="9" t="n">
        <v>8</v>
      </c>
      <c r="C161" s="9" t="inlineStr">
        <is>
          <t>Measurement</t>
        </is>
      </c>
      <c r="D161" s="9" t="inlineStr">
        <is>
          <t>recognise and use rates to solve problems involving the comparison of 2 related quantities of different units of measure</t>
        </is>
      </c>
      <c r="E161" s="9" t="n">
        <v>2</v>
      </c>
      <c r="F161" s="9" t="inlineStr">
        <is>
          <t>applying rates to solve problems involving the conversion between different units of measure; for example, using a conversion rate to convert distances from miles into kilometres; using currency exchange rates to determine the price of items</t>
        </is>
      </c>
    </row>
    <row r="162" ht="23.25" customHeight="1" s="1">
      <c r="A162" s="9" t="inlineStr">
        <is>
          <t>AC9M8M05</t>
        </is>
      </c>
      <c r="B162" s="9" t="n">
        <v>8</v>
      </c>
      <c r="C162" s="9" t="inlineStr">
        <is>
          <t>Measurement</t>
        </is>
      </c>
      <c r="D162" s="9" t="inlineStr">
        <is>
          <t>recognise and use rates to solve problems involving the comparison of 2 related quantities of different units of measure</t>
        </is>
      </c>
      <c r="E162" s="9" t="n">
        <v>3</v>
      </c>
      <c r="F162" s="9" t="inlineStr">
        <is>
          <t>applying rates to calculate solutions to problems in different contexts; for example, required run rates in cricket, dilution of concentrated chemicals and comparing the petrol consumption rates of different vehicles</t>
        </is>
      </c>
    </row>
    <row r="163" ht="23.25" customHeight="1" s="1">
      <c r="A163" s="9" t="inlineStr">
        <is>
          <t>AC9M8M05</t>
        </is>
      </c>
      <c r="B163" s="9" t="n">
        <v>8</v>
      </c>
      <c r="C163" s="9" t="inlineStr">
        <is>
          <t>Measurement</t>
        </is>
      </c>
      <c r="D163" s="9" t="inlineStr">
        <is>
          <t>recognise and use rates to solve problems involving the comparison of 2 related quantities of different units of measure</t>
        </is>
      </c>
      <c r="E163" s="9" t="n">
        <v>4</v>
      </c>
      <c r="F163" s="9" t="inlineStr">
        <is>
          <t>using taxation tables to calculate an individual's annual income tax</t>
        </is>
      </c>
    </row>
    <row r="164" ht="34.5" customHeight="1" s="1">
      <c r="A164" s="9" t="inlineStr">
        <is>
          <t>AC9M8M05</t>
        </is>
      </c>
      <c r="B164" s="9" t="n">
        <v>8</v>
      </c>
      <c r="C164" s="9" t="inlineStr">
        <is>
          <t>Measurement</t>
        </is>
      </c>
      <c r="D164" s="9" t="inlineStr">
        <is>
          <t>recognise and use rates to solve problems involving the comparison of 2 related quantities of different units of measure</t>
        </is>
      </c>
      <c r="E164" s="9" t="n">
        <v>5</v>
      </c>
      <c r="F164" s="9" t="inlineStr">
        <is>
          <t>investigating the application of rates in First Nation Australians’ land management practices, including the rate of fire spread under different environmental conditions such as fuel types, wind speed, temperature and relative humidity; the conservation of water by First Nations Australians by estimating rates of water evaporation based on surface area and climatic conditions</t>
        </is>
      </c>
    </row>
    <row r="165" ht="23.25" customHeight="1" s="1">
      <c r="A165" s="9" t="inlineStr">
        <is>
          <t>AC9M8M06</t>
        </is>
      </c>
      <c r="B165" s="9" t="n">
        <v>8</v>
      </c>
      <c r="C165" s="9" t="inlineStr">
        <is>
          <t>Measurement</t>
        </is>
      </c>
      <c r="D165" s="9" t="inlineStr">
        <is>
          <t>use Pythagoras’ theorem to solve problems involving the side lengths of right-angled triangles</t>
        </is>
      </c>
      <c r="E165" s="9" t="n">
        <v>1</v>
      </c>
      <c r="F165" s="9" t="inlineStr">
        <is>
          <t>discussing and comparing different applications, demonstrations and proofs of Pythagoras’ theorem, from Egypt and Mesopotamia, Greece, India and China with other historical and contemporary applications and proofs</t>
        </is>
      </c>
    </row>
    <row r="166" ht="23.25" customHeight="1" s="1">
      <c r="A166" s="9" t="inlineStr">
        <is>
          <t>AC9M8M06</t>
        </is>
      </c>
      <c r="B166" s="9" t="n">
        <v>8</v>
      </c>
      <c r="C166" s="9" t="inlineStr">
        <is>
          <t>Measurement</t>
        </is>
      </c>
      <c r="D166" s="9" t="inlineStr">
        <is>
          <t>use Pythagoras’ theorem to solve problems involving the side lengths of right-angled triangles</t>
        </is>
      </c>
      <c r="E166" s="9" t="n">
        <v>2</v>
      </c>
      <c r="F166" s="9" t="inlineStr">
        <is>
          <t>using Pythagoras’ theorem to determine unknown lengths of sides in right-angled triangles and finding lengths of sides of right-angled triangles in practical applications</t>
        </is>
      </c>
    </row>
    <row r="167" ht="15" customHeight="1" s="1">
      <c r="A167" s="9" t="inlineStr">
        <is>
          <t>AC9M8M06</t>
        </is>
      </c>
      <c r="B167" s="9" t="n">
        <v>8</v>
      </c>
      <c r="C167" s="9" t="inlineStr">
        <is>
          <t>Measurement</t>
        </is>
      </c>
      <c r="D167" s="9" t="inlineStr">
        <is>
          <t>use Pythagoras’ theorem to solve problems involving the side lengths of right-angled triangles</t>
        </is>
      </c>
      <c r="E167" s="9" t="n">
        <v>3</v>
      </c>
      <c r="F167" s="9" t="inlineStr">
        <is>
          <t>recognising the relationship between the squares of lengths of sides for different types of triangles: right-angled, acute or obtuse</t>
        </is>
      </c>
    </row>
    <row r="168" ht="15" customHeight="1" s="1">
      <c r="A168" s="9" t="inlineStr">
        <is>
          <t>AC9M8M06</t>
        </is>
      </c>
      <c r="B168" s="9" t="n">
        <v>8</v>
      </c>
      <c r="C168" s="9" t="inlineStr">
        <is>
          <t>Measurement</t>
        </is>
      </c>
      <c r="D168" s="9" t="inlineStr">
        <is>
          <t>use Pythagoras’ theorem to solve problems involving the side lengths of right-angled triangles</t>
        </is>
      </c>
      <c r="E168" s="9" t="n">
        <v>4</v>
      </c>
      <c r="F168" s="9" t="inlineStr">
        <is>
          <t>identifying Pythagorean triples, such as (3,4,5), (5,12,13), (7, 24, 25) and (8,15, 17)</t>
        </is>
      </c>
    </row>
    <row r="169" ht="34.5" customHeight="1" s="1">
      <c r="A169" s="9" t="inlineStr">
        <is>
          <t>AC9M8M07</t>
        </is>
      </c>
      <c r="B169" s="9" t="n">
        <v>8</v>
      </c>
      <c r="C169" s="9" t="inlineStr">
        <is>
          <t>Measurement</t>
        </is>
      </c>
      <c r="D169" s="9" t="inlineStr">
        <is>
          <t>use mathematical modelling to solve practical problems involving ratios and rates, including financial contexts; formulate problems; interpret and communicate solutions in terms of the situation, reviewing the appropriateness of the model</t>
        </is>
      </c>
      <c r="E169" s="9" t="n">
        <v>1</v>
      </c>
      <c r="F169" s="9" t="inlineStr">
        <is>
          <t>modelling and solving problems related to situations such as scales on maps and plans, the mixing of chemicals or ingredients, or calculating magnification factors applying relevant ratios and proportions</t>
        </is>
      </c>
    </row>
    <row r="170" ht="34.5" customHeight="1" s="1">
      <c r="A170" s="9" t="inlineStr">
        <is>
          <t>AC9M8M07</t>
        </is>
      </c>
      <c r="B170" s="9" t="n">
        <v>8</v>
      </c>
      <c r="C170" s="9" t="inlineStr">
        <is>
          <t>Measurement</t>
        </is>
      </c>
      <c r="D170" s="9" t="inlineStr">
        <is>
          <t>use mathematical modelling to solve practical problems involving ratios and rates, including financial contexts; formulate problems; interpret and communicate solutions in terms of the situation, reviewing the appropriateness of the model</t>
        </is>
      </c>
      <c r="E170" s="9" t="n">
        <v>2</v>
      </c>
      <c r="F170" s="9" t="inlineStr">
        <is>
          <t>modelling problems involving converting money amounts using different exchange rates and applying them when planning and budgeting for overseas travel</t>
        </is>
      </c>
    </row>
    <row r="171" ht="34.5" customHeight="1" s="1">
      <c r="A171" s="9" t="inlineStr">
        <is>
          <t>AC9M8M07</t>
        </is>
      </c>
      <c r="B171" s="9" t="n">
        <v>8</v>
      </c>
      <c r="C171" s="9" t="inlineStr">
        <is>
          <t>Measurement</t>
        </is>
      </c>
      <c r="D171" s="9" t="inlineStr">
        <is>
          <t>use mathematical modelling to solve practical problems involving ratios and rates, including financial contexts; formulate problems; interpret and communicate solutions in terms of the situation, reviewing the appropriateness of the model</t>
        </is>
      </c>
      <c r="E171" s="9" t="n">
        <v>3</v>
      </c>
      <c r="F171" s="9" t="inlineStr">
        <is>
          <t>modelling situations involving financial contexts; for example, income tax, using taxation rates on annual income, comparing different taxation brackets and rates of pay; comparing the benefits of different phone plans using different call rates and associated fees to determine the best plan</t>
        </is>
      </c>
    </row>
    <row r="172" ht="34.5" customHeight="1" s="1">
      <c r="A172" s="9" t="inlineStr">
        <is>
          <t>AC9M8M07</t>
        </is>
      </c>
      <c r="B172" s="9" t="n">
        <v>8</v>
      </c>
      <c r="C172" s="9" t="inlineStr">
        <is>
          <t>Measurement</t>
        </is>
      </c>
      <c r="D172" s="9" t="inlineStr">
        <is>
          <t>use mathematical modelling to solve practical problems involving ratios and rates, including financial contexts; formulate problems; interpret and communicate solutions in terms of the situation, reviewing the appropriateness of the model</t>
        </is>
      </c>
      <c r="E172" s="9" t="n">
        <v>4</v>
      </c>
      <c r="F172" s="9" t="inlineStr">
        <is>
          <t>modelling situations involving the use of ratios in radiocarbon dating methods, including the ratio of carbon-14 to carbon-12 isotopes in organisms, to measure dates of First Peoples of Australia’s habitation on the Australian continent</t>
        </is>
      </c>
    </row>
    <row r="173" ht="34.5" customHeight="1" s="1">
      <c r="A173" s="9" t="inlineStr">
        <is>
          <t>AC9M8M07</t>
        </is>
      </c>
      <c r="B173" s="9" t="n">
        <v>8</v>
      </c>
      <c r="C173" s="9" t="inlineStr">
        <is>
          <t>Measurement</t>
        </is>
      </c>
      <c r="D173" s="9" t="inlineStr">
        <is>
          <t>use mathematical modelling to solve practical problems involving ratios and rates, including financial contexts; formulate problems; interpret and communicate solutions in terms of the situation, reviewing the appropriateness of the model</t>
        </is>
      </c>
      <c r="E173" s="9" t="n">
        <v>5</v>
      </c>
      <c r="F173" s="9" t="inlineStr">
        <is>
          <t>modelling situations involving ratio and its application in the making of string and cordage by First Nations Australians, including the ratio of length to the mass of a rope, the strength of the ply in proportion to a rope’s pulling force, and the proportion of fibre for the length of string required</t>
        </is>
      </c>
    </row>
    <row r="174" ht="23.25" customHeight="1" s="1">
      <c r="A174" s="9" t="inlineStr">
        <is>
          <t>AC9M8SP01</t>
        </is>
      </c>
      <c r="B174" s="9" t="n">
        <v>8</v>
      </c>
      <c r="C174" s="9" t="inlineStr">
        <is>
          <t>Space</t>
        </is>
      </c>
      <c r="D174" s="9" t="inlineStr">
        <is>
          <t>identify the conditions for congruence and similarity of triangles and explain the conditions for other sets of common shapes to be congruent or similar, including those formed by transformations</t>
        </is>
      </c>
      <c r="E174" s="9" t="n">
        <v>1</v>
      </c>
      <c r="F174" s="9" t="inlineStr">
        <is>
          <t>developing an understanding of what it means for shapes to be congruent or similar</t>
        </is>
      </c>
    </row>
    <row r="175" ht="23.25" customHeight="1" s="1">
      <c r="A175" s="9" t="inlineStr">
        <is>
          <t>AC9M8SP01</t>
        </is>
      </c>
      <c r="B175" s="9" t="n">
        <v>8</v>
      </c>
      <c r="C175" s="9" t="inlineStr">
        <is>
          <t>Space</t>
        </is>
      </c>
      <c r="D175" s="9" t="inlineStr">
        <is>
          <t>identify the conditions for congruence and similarity of triangles and explain the conditions for other sets of common shapes to be congruent or similar, including those formed by transformations</t>
        </is>
      </c>
      <c r="E175" s="9" t="n">
        <v>2</v>
      </c>
      <c r="F175" s="9" t="inlineStr">
        <is>
          <t>using the enlargement transformation and digital tools to develop sets of similar shapes</t>
        </is>
      </c>
    </row>
    <row r="176" ht="23.25" customHeight="1" s="1">
      <c r="A176" s="9" t="inlineStr">
        <is>
          <t>AC9M8SP01</t>
        </is>
      </c>
      <c r="B176" s="9" t="n">
        <v>8</v>
      </c>
      <c r="C176" s="9" t="inlineStr">
        <is>
          <t>Space</t>
        </is>
      </c>
      <c r="D176" s="9" t="inlineStr">
        <is>
          <t>identify the conditions for congruence and similarity of triangles and explain the conditions for other sets of common shapes to be congruent or similar, including those formed by transformations</t>
        </is>
      </c>
      <c r="E176" s="9" t="n">
        <v>3</v>
      </c>
      <c r="F176" s="9" t="inlineStr">
        <is>
          <t>investigating sufficient conditions to establish that 2 triangles are congruent</t>
        </is>
      </c>
    </row>
    <row r="177" ht="23.25" customHeight="1" s="1">
      <c r="A177" s="9" t="inlineStr">
        <is>
          <t>AC9M8SP01</t>
        </is>
      </c>
      <c r="B177" s="9" t="n">
        <v>8</v>
      </c>
      <c r="C177" s="9" t="inlineStr">
        <is>
          <t>Space</t>
        </is>
      </c>
      <c r="D177" s="9" t="inlineStr">
        <is>
          <t>identify the conditions for congruence and similarity of triangles and explain the conditions for other sets of common shapes to be congruent or similar, including those formed by transformations</t>
        </is>
      </c>
      <c r="E177" s="9" t="n">
        <v>4</v>
      </c>
      <c r="F177" s="9" t="inlineStr">
        <is>
          <t>applying logical reasoning and tests for congruence and similarity, to problems and proofs involving plane shapes</t>
        </is>
      </c>
    </row>
    <row r="178" ht="23.25" customHeight="1" s="1">
      <c r="A178" s="9" t="inlineStr">
        <is>
          <t>AC9M8SP01</t>
        </is>
      </c>
      <c r="B178" s="9" t="n">
        <v>8</v>
      </c>
      <c r="C178" s="9" t="inlineStr">
        <is>
          <t>Space</t>
        </is>
      </c>
      <c r="D178" s="9" t="inlineStr">
        <is>
          <t>identify the conditions for congruence and similarity of triangles and explain the conditions for other sets of common shapes to be congruent or similar, including those formed by transformations</t>
        </is>
      </c>
      <c r="E178" s="9" t="n">
        <v>5</v>
      </c>
      <c r="F178" s="9" t="inlineStr">
        <is>
          <t>comparing angle and side measurements of shapes under transformation to answer questions such as “What changes?” and “What stays the same?”</t>
        </is>
      </c>
    </row>
    <row r="179" ht="23.25" customHeight="1" s="1">
      <c r="A179" s="9" t="inlineStr">
        <is>
          <t>AC9M8SP01</t>
        </is>
      </c>
      <c r="B179" s="9" t="n">
        <v>8</v>
      </c>
      <c r="C179" s="9" t="inlineStr">
        <is>
          <t>Space</t>
        </is>
      </c>
      <c r="D179" s="9" t="inlineStr">
        <is>
          <t>identify the conditions for congruence and similarity of triangles and explain the conditions for other sets of common shapes to be congruent or similar, including those formed by transformations</t>
        </is>
      </c>
      <c r="E179" s="9" t="n">
        <v>6</v>
      </c>
      <c r="F179" s="9" t="inlineStr">
        <is>
          <t>establishing that 2 shapes are congruent if one lies exactly on top of the other after one or more transformations including translations, reflections and rotations, and recognising that the matching sides and the matching angles are equal</t>
        </is>
      </c>
    </row>
    <row r="180" ht="23.25" customHeight="1" s="1">
      <c r="A180" s="9" t="inlineStr">
        <is>
          <t>AC9M8SP02</t>
        </is>
      </c>
      <c r="B180" s="9" t="n">
        <v>8</v>
      </c>
      <c r="C180" s="9" t="inlineStr">
        <is>
          <t>Space</t>
        </is>
      </c>
      <c r="D180" s="9" t="inlineStr">
        <is>
          <t>establish properties of quadrilaterals using congruent triangles and angle properties, and solve related problems explaining reasoning</t>
        </is>
      </c>
      <c r="E180" s="9" t="n">
        <v>1</v>
      </c>
      <c r="F180" s="9" t="inlineStr">
        <is>
          <t>establishing the properties of squares, rectangles, parallelograms, rhombuses, trapeziums and kites using geometric properties and proof, such as the sum of the exterior angles of a polygon is equal to a complete turn or 360°</t>
        </is>
      </c>
    </row>
    <row r="181" ht="23.25" customHeight="1" s="1">
      <c r="A181" s="9" t="inlineStr">
        <is>
          <t>AC9M8SP02</t>
        </is>
      </c>
      <c r="B181" s="9" t="n">
        <v>8</v>
      </c>
      <c r="C181" s="9" t="inlineStr">
        <is>
          <t>Space</t>
        </is>
      </c>
      <c r="D181" s="9" t="inlineStr">
        <is>
          <t>establish properties of quadrilaterals using congruent triangles and angle properties, and solve related problems explaining reasoning</t>
        </is>
      </c>
      <c r="E181" s="9" t="n">
        <v>2</v>
      </c>
      <c r="F181" s="9" t="inlineStr">
        <is>
          <t>identifying properties of quadrilaterals related to side lengths, parallel sides, angles, diagonals and symmetry</t>
        </is>
      </c>
    </row>
    <row r="182" ht="23.25" customHeight="1" s="1">
      <c r="A182" s="9" t="inlineStr">
        <is>
          <t>AC9M8SP02</t>
        </is>
      </c>
      <c r="B182" s="9" t="n">
        <v>8</v>
      </c>
      <c r="C182" s="9" t="inlineStr">
        <is>
          <t>Space</t>
        </is>
      </c>
      <c r="D182" s="9" t="inlineStr">
        <is>
          <t>establish properties of quadrilaterals using congruent triangles and angle properties, and solve related problems explaining reasoning</t>
        </is>
      </c>
      <c r="E182" s="9" t="n">
        <v>3</v>
      </c>
      <c r="F182" s="9" t="inlineStr">
        <is>
          <t>applying the properties of triangles and quadrilaterals to construction designs such as car jacks, scissor lifts, folding umbrellas, toolboxes and cherry pickers</t>
        </is>
      </c>
    </row>
    <row r="183" ht="23.25" customHeight="1" s="1">
      <c r="A183" s="9" t="inlineStr">
        <is>
          <t>AC9M8SP03</t>
        </is>
      </c>
      <c r="B183" s="9" t="n">
        <v>8</v>
      </c>
      <c r="C183" s="9" t="inlineStr">
        <is>
          <t>Space</t>
        </is>
      </c>
      <c r="D183" s="9" t="inlineStr">
        <is>
          <t>describe the position and location of objects in 3 dimensions in different ways, including using a three-dimensional coordinate system with the use of dynamic geometric software and other digital tools</t>
        </is>
      </c>
      <c r="E183" s="9" t="n">
        <v>1</v>
      </c>
      <c r="F183" s="9" t="inlineStr">
        <is>
          <t>locating aircraft/drones using latitude, longitude and altitude as a three-dimensional coordinate system</t>
        </is>
      </c>
    </row>
    <row r="184" ht="23.25" customHeight="1" s="1">
      <c r="A184" s="9" t="inlineStr">
        <is>
          <t>AC9M8SP03</t>
        </is>
      </c>
      <c r="B184" s="9" t="n">
        <v>8</v>
      </c>
      <c r="C184" s="9" t="inlineStr">
        <is>
          <t>Space</t>
        </is>
      </c>
      <c r="D184" s="9" t="inlineStr">
        <is>
          <t>describe the position and location of objects in 3 dimensions in different ways, including using a three-dimensional coordinate system with the use of dynamic geometric software and other digital tools</t>
        </is>
      </c>
      <c r="E184" s="9" t="n">
        <v>2</v>
      </c>
      <c r="F184" s="9" t="inlineStr">
        <is>
          <t>constructing three-dimensional objects using 3D printers or designing software that uses a three-dimensional coordinate system</t>
        </is>
      </c>
    </row>
    <row r="185" ht="23.25" customHeight="1" s="1">
      <c r="A185" s="9" t="inlineStr">
        <is>
          <t>AC9M8SP03</t>
        </is>
      </c>
      <c r="B185" s="9" t="n">
        <v>8</v>
      </c>
      <c r="C185" s="9" t="inlineStr">
        <is>
          <t>Space</t>
        </is>
      </c>
      <c r="D185" s="9" t="inlineStr">
        <is>
          <t>describe the position and location of objects in 3 dimensions in different ways, including using a three-dimensional coordinate system with the use of dynamic geometric software and other digital tools</t>
        </is>
      </c>
      <c r="E185" s="9" t="n">
        <v>3</v>
      </c>
      <c r="F185" s="9" t="inlineStr">
        <is>
          <t>comparing and contrasting two-dimensional and three-dimensional coordinate systems by highlighting what is the same and what is different, including virtual maps versus street views</t>
        </is>
      </c>
    </row>
    <row r="186" ht="23.25" customHeight="1" s="1">
      <c r="A186" s="9" t="inlineStr">
        <is>
          <t>AC9M8SP03</t>
        </is>
      </c>
      <c r="B186" s="9" t="n">
        <v>8</v>
      </c>
      <c r="C186" s="9" t="inlineStr">
        <is>
          <t>Space</t>
        </is>
      </c>
      <c r="D186" s="9" t="inlineStr">
        <is>
          <t>describe the position and location of objects in 3 dimensions in different ways, including using a three-dimensional coordinate system with the use of dynamic geometric software and other digital tools</t>
        </is>
      </c>
      <c r="E186" s="9" t="n">
        <v>4</v>
      </c>
      <c r="F186" s="9" t="inlineStr">
        <is>
          <t>using dynamic geometry software to construct shapes and objects within the first quadrant of a three-dimensional coordinate system</t>
        </is>
      </c>
    </row>
    <row r="187" ht="23.25" customHeight="1" s="1">
      <c r="A187" s="9" t="inlineStr">
        <is>
          <t>AC9M8SP03</t>
        </is>
      </c>
      <c r="B187" s="9" t="n">
        <v>8</v>
      </c>
      <c r="C187" s="9" t="inlineStr">
        <is>
          <t>Space</t>
        </is>
      </c>
      <c r="D187" s="9" t="inlineStr">
        <is>
          <t>describe the position and location of objects in 3 dimensions in different ways, including using a three-dimensional coordinate system with the use of dynamic geometric software and other digital tools</t>
        </is>
      </c>
      <c r="E187" s="9" t="n">
        <v>5</v>
      </c>
      <c r="F187" s="9" t="inlineStr">
        <is>
          <t>interpreting three-dimensional coordinate locations for objects in multi-storey car parks; playing games based on three-dimensional coordinate systems such as three-dimensional Noughts and Crosses (Tic-Tac-Toe)</t>
        </is>
      </c>
    </row>
    <row r="188" ht="23.25" customHeight="1" s="1">
      <c r="A188" s="9" t="inlineStr">
        <is>
          <t>AC9M8SP03</t>
        </is>
      </c>
      <c r="B188" s="9" t="n">
        <v>8</v>
      </c>
      <c r="C188" s="9" t="inlineStr">
        <is>
          <t>Space</t>
        </is>
      </c>
      <c r="D188" s="9" t="inlineStr">
        <is>
          <t>describe the position and location of objects in 3 dimensions in different ways, including using a three-dimensional coordinate system with the use of dynamic geometric software and other digital tools</t>
        </is>
      </c>
      <c r="E188" s="9" t="n">
        <v>6</v>
      </c>
      <c r="F188" s="9" t="inlineStr">
        <is>
          <t>exploring position and transformation through geospatial technologies used by First Nations Australians’ communities</t>
        </is>
      </c>
    </row>
    <row r="189" ht="23.25" customHeight="1" s="1">
      <c r="A189" s="9" t="inlineStr">
        <is>
          <t>AC9M8SP04</t>
        </is>
      </c>
      <c r="B189" s="9" t="n">
        <v>8</v>
      </c>
      <c r="C189" s="9" t="inlineStr">
        <is>
          <t>Space</t>
        </is>
      </c>
      <c r="D189" s="9" t="inlineStr">
        <is>
          <t>design, create and test algorithms involving a sequence of steps and decisions that identify congruency or similarity of shapes, and describe how the algorithm works</t>
        </is>
      </c>
      <c r="E189" s="9" t="n">
        <v>1</v>
      </c>
      <c r="F189" s="9" t="inlineStr">
        <is>
          <t>listing the properties or criteria necessary to determine if shapes are similar or congruent</t>
        </is>
      </c>
    </row>
    <row r="190" ht="23.25" customHeight="1" s="1">
      <c r="A190" s="9" t="inlineStr">
        <is>
          <t>AC9M8SP04</t>
        </is>
      </c>
      <c r="B190" s="9" t="n">
        <v>8</v>
      </c>
      <c r="C190" s="9" t="inlineStr">
        <is>
          <t>Space</t>
        </is>
      </c>
      <c r="D190" s="9" t="inlineStr">
        <is>
          <t>design, create and test algorithms involving a sequence of steps and decisions that identify congruency or similarity of shapes, and describe how the algorithm works</t>
        </is>
      </c>
      <c r="E190" s="9" t="n">
        <v>2</v>
      </c>
      <c r="F190" s="9" t="inlineStr">
        <is>
          <t>using the conditions for congruence of triangles and similarity of triangles to develop a sorting algorithm; for example, creating a flow chart</t>
        </is>
      </c>
    </row>
    <row r="191" ht="23.25" customHeight="1" s="1">
      <c r="A191" s="9" t="inlineStr">
        <is>
          <t>AC9M8SP04</t>
        </is>
      </c>
      <c r="B191" s="9" t="n">
        <v>8</v>
      </c>
      <c r="C191" s="9" t="inlineStr">
        <is>
          <t>Space</t>
        </is>
      </c>
      <c r="D191" s="9" t="inlineStr">
        <is>
          <t>design, create and test algorithms involving a sequence of steps and decisions that identify congruency or similarity of shapes, and describe how the algorithm works</t>
        </is>
      </c>
      <c r="E191" s="9" t="n">
        <v>3</v>
      </c>
      <c r="F191" s="9" t="inlineStr">
        <is>
          <t>evaluating algorithms for accuracy in classifying and distinguishing between similar and congruent triangles</t>
        </is>
      </c>
    </row>
    <row r="192" ht="23.25" customHeight="1" s="1">
      <c r="A192" s="9" t="inlineStr">
        <is>
          <t>AC9M8ST01</t>
        </is>
      </c>
      <c r="B192" s="9" t="n">
        <v>8</v>
      </c>
      <c r="C192" s="9" t="inlineStr">
        <is>
          <t>Statistics</t>
        </is>
      </c>
      <c r="D192" s="9" t="inlineStr">
        <is>
          <t>investigate techniques for data collection including census, sampling, experiment and observation, and explain the practicalities and implications of obtaining data through these techniques</t>
        </is>
      </c>
      <c r="E192" s="9" t="n">
        <v>1</v>
      </c>
      <c r="F192" s="9" t="inlineStr">
        <is>
          <t>identifying situations where data can be collected by census and those where a sample is appropriate</t>
        </is>
      </c>
    </row>
    <row r="193" ht="34.5" customHeight="1" s="1">
      <c r="A193" s="9" t="inlineStr">
        <is>
          <t>AC9M8ST01</t>
        </is>
      </c>
      <c r="B193" s="9" t="n">
        <v>8</v>
      </c>
      <c r="C193" s="9" t="inlineStr">
        <is>
          <t>Statistics</t>
        </is>
      </c>
      <c r="D193" s="9" t="inlineStr">
        <is>
          <t>investigate techniques for data collection including census, sampling, experiment and observation, and explain the practicalities and implications of obtaining data through these techniques</t>
        </is>
      </c>
      <c r="E193" s="9" t="n">
        <v>2</v>
      </c>
      <c r="F193" s="9" t="inlineStr">
        <is>
          <t>investigating the practicalities and implications of obtaining data through sampling, using a variety of investigative processes; for example, investigating situations when random sampling or non-random sampling is used to collect data and the implication of each sampling method</t>
        </is>
      </c>
    </row>
    <row r="194" ht="45.75" customHeight="1" s="1">
      <c r="A194" s="9" t="inlineStr">
        <is>
          <t>AC9M8ST01</t>
        </is>
      </c>
      <c r="B194" s="9" t="n">
        <v>8</v>
      </c>
      <c r="C194" s="9" t="inlineStr">
        <is>
          <t>Statistics</t>
        </is>
      </c>
      <c r="D194" s="9" t="inlineStr">
        <is>
          <t>investigate techniques for data collection including census, sampling, experiment and observation, and explain the practicalities and implications of obtaining data through these techniques</t>
        </is>
      </c>
      <c r="E194" s="9" t="n">
        <v>3</v>
      </c>
      <c r="F194" s="9" t="inlineStr">
        <is>
          <t>discussing how observations, experiments and sampling methods can be impacted by bias; for example, recognising that a sampling bias occurs when certain members of a population are more likely to be selected in a sample than others, such as a survey conducted at a shopping centre; recognising that environmental conditions may bias the results of scientific investigations if experiments are conducted at different times or under different conditions</t>
        </is>
      </c>
    </row>
    <row r="195" ht="23.25" customHeight="1" s="1">
      <c r="A195" s="9" t="inlineStr">
        <is>
          <t>AC9M8ST01</t>
        </is>
      </c>
      <c r="B195" s="9" t="n">
        <v>8</v>
      </c>
      <c r="C195" s="9" t="inlineStr">
        <is>
          <t>Statistics</t>
        </is>
      </c>
      <c r="D195" s="9" t="inlineStr">
        <is>
          <t>investigate techniques for data collection including census, sampling, experiment and observation, and explain the practicalities and implications of obtaining data through these techniques</t>
        </is>
      </c>
      <c r="E195" s="9" t="n">
        <v>4</v>
      </c>
      <c r="F195" s="9" t="inlineStr">
        <is>
          <t>using digital tools such as simulations and digital measuring devices to observe, measure and record qualitative and quantitative data, discussing precision and the implications of error</t>
        </is>
      </c>
    </row>
    <row r="196" ht="23.25" customHeight="1" s="1">
      <c r="A196" s="9" t="inlineStr">
        <is>
          <t>AC9M8ST02</t>
        </is>
      </c>
      <c r="B196" s="9" t="n">
        <v>8</v>
      </c>
      <c r="C196" s="9" t="inlineStr">
        <is>
          <t>Statistics</t>
        </is>
      </c>
      <c r="D196" s="9" t="inlineStr">
        <is>
          <t>analyse and report on the distribution of data from primary and secondary sources using random and non-random sampling techniques to select and study samples</t>
        </is>
      </c>
      <c r="E196" s="9" t="n">
        <v>1</v>
      </c>
      <c r="F196" s="9" t="inlineStr">
        <is>
          <t>investigating different methods of sampling used to collect data, considering the source and size of samples</t>
        </is>
      </c>
    </row>
    <row r="197" ht="23.25" customHeight="1" s="1">
      <c r="A197" s="9" t="inlineStr">
        <is>
          <t>AC9M8ST02</t>
        </is>
      </c>
      <c r="B197" s="9" t="n">
        <v>8</v>
      </c>
      <c r="C197" s="9" t="inlineStr">
        <is>
          <t>Statistics</t>
        </is>
      </c>
      <c r="D197" s="9" t="inlineStr">
        <is>
          <t>analyse and report on the distribution of data from primary and secondary sources using random and non-random sampling techniques to select and study samples</t>
        </is>
      </c>
      <c r="E197" s="9" t="n">
        <v>2</v>
      </c>
      <c r="F197" s="9" t="inlineStr">
        <is>
          <t>comparing the sampling methods of simple random, systematic, stratified, quota, clustered or convenience, or judgement, and discussing the reliability of conclusions about the context that could be drawn</t>
        </is>
      </c>
    </row>
    <row r="198" ht="23.25" customHeight="1" s="1">
      <c r="A198" s="9" t="inlineStr">
        <is>
          <t>AC9M8ST02</t>
        </is>
      </c>
      <c r="B198" s="9" t="n">
        <v>8</v>
      </c>
      <c r="C198" s="9" t="inlineStr">
        <is>
          <t>Statistics</t>
        </is>
      </c>
      <c r="D198" s="9" t="inlineStr">
        <is>
          <t>analyse and report on the distribution of data from primary and secondary sources using random and non-random sampling techniques to select and study samples</t>
        </is>
      </c>
      <c r="E198" s="9" t="n">
        <v>3</v>
      </c>
      <c r="F198" s="9" t="inlineStr">
        <is>
          <t>defining and distinguishing between probabilistic terms such as random, sample space, sample and sample distribution</t>
        </is>
      </c>
    </row>
    <row r="199" ht="23.25" customHeight="1" s="1">
      <c r="A199" s="9" t="inlineStr">
        <is>
          <t>AC9M8ST02</t>
        </is>
      </c>
      <c r="B199" s="9" t="n">
        <v>8</v>
      </c>
      <c r="C199" s="9" t="inlineStr">
        <is>
          <t>Statistics</t>
        </is>
      </c>
      <c r="D199" s="9" t="inlineStr">
        <is>
          <t>analyse and report on the distribution of data from primary and secondary sources using random and non-random sampling techniques to select and study samples</t>
        </is>
      </c>
      <c r="E199" s="9" t="n">
        <v>4</v>
      </c>
      <c r="F199" s="9" t="inlineStr">
        <is>
          <t>investigating primary and secondary data sources relating to reconciliation between First Nations Australians and non-Indigenous Australians, analysing and reporting on findings</t>
        </is>
      </c>
    </row>
    <row r="200" ht="23.25" customHeight="1" s="1">
      <c r="A200" s="9" t="inlineStr">
        <is>
          <t>AC9M8ST03</t>
        </is>
      </c>
      <c r="B200" s="9" t="n">
        <v>8</v>
      </c>
      <c r="C200" s="9" t="inlineStr">
        <is>
          <t>Statistics</t>
        </is>
      </c>
      <c r="D200" s="9" t="inlineStr">
        <is>
          <t>compare variations in distributions and proportions obtained from random samples of the same size drawn from a population and recognise the effect of sample size on this variation</t>
        </is>
      </c>
      <c r="E200" s="9" t="n">
        <v>1</v>
      </c>
      <c r="F200" s="9" t="inlineStr">
        <is>
          <t>comparing the proportion of students in favour of a proposal for a change in school uniform between different random samples of 50 students from the school population</t>
        </is>
      </c>
    </row>
    <row r="201" ht="23.25" customHeight="1" s="1">
      <c r="A201" s="9" t="inlineStr">
        <is>
          <t>AC9M8ST03</t>
        </is>
      </c>
      <c r="B201" s="9" t="n">
        <v>8</v>
      </c>
      <c r="C201" s="9" t="inlineStr">
        <is>
          <t>Statistics</t>
        </is>
      </c>
      <c r="D201" s="9" t="inlineStr">
        <is>
          <t>compare variations in distributions and proportions obtained from random samples of the same size drawn from a population and recognise the effect of sample size on this variation</t>
        </is>
      </c>
      <c r="E201" s="9" t="n">
        <v>2</v>
      </c>
      <c r="F201" s="9" t="inlineStr">
        <is>
          <t>using digital tools to simulate repeated sampling of the same population, such as heights or arm spans of students, recording and comparing means, median and range of data between samples</t>
        </is>
      </c>
    </row>
    <row r="202" ht="23.25" customHeight="1" s="1">
      <c r="A202" s="9" t="inlineStr">
        <is>
          <t>AC9M8ST03</t>
        </is>
      </c>
      <c r="B202" s="9" t="n">
        <v>8</v>
      </c>
      <c r="C202" s="9" t="inlineStr">
        <is>
          <t>Statistics</t>
        </is>
      </c>
      <c r="D202" s="9" t="inlineStr">
        <is>
          <t>compare variations in distributions and proportions obtained from random samples of the same size drawn from a population and recognise the effect of sample size on this variation</t>
        </is>
      </c>
      <c r="E202" s="9" t="n">
        <v>3</v>
      </c>
      <c r="F202" s="9" t="inlineStr">
        <is>
          <t>using relative frequencies from historical data to predict proportions and the likely number of outcomes in situations such as weather forecasting or the countries of origin of visitors to tourist attractions</t>
        </is>
      </c>
    </row>
    <row r="203" ht="23.25" customHeight="1" s="1">
      <c r="A203" s="9" t="inlineStr">
        <is>
          <t>AC9M8ST03</t>
        </is>
      </c>
      <c r="B203" s="9" t="n">
        <v>8</v>
      </c>
      <c r="C203" s="9" t="inlineStr">
        <is>
          <t>Statistics</t>
        </is>
      </c>
      <c r="D203" s="9" t="inlineStr">
        <is>
          <t>compare variations in distributions and proportions obtained from random samples of the same size drawn from a population and recognise the effect of sample size on this variation</t>
        </is>
      </c>
      <c r="E203" s="9" t="n">
        <v>4</v>
      </c>
      <c r="F203" s="9" t="inlineStr">
        <is>
          <t>investigating the effect that adding or removing data from a data set has on measures of central tendency and spread</t>
        </is>
      </c>
    </row>
    <row r="204" ht="23.25" customHeight="1" s="1">
      <c r="A204" s="9" t="inlineStr">
        <is>
          <t>AC9M8ST03</t>
        </is>
      </c>
      <c r="B204" s="9" t="n">
        <v>8</v>
      </c>
      <c r="C204" s="9" t="inlineStr">
        <is>
          <t>Statistics</t>
        </is>
      </c>
      <c r="D204" s="9" t="inlineStr">
        <is>
          <t>compare variations in distributions and proportions obtained from random samples of the same size drawn from a population and recognise the effect of sample size on this variation</t>
        </is>
      </c>
      <c r="E204" s="9" t="n">
        <v>5</v>
      </c>
      <c r="F204" s="9" t="inlineStr">
        <is>
          <t>investigating First Nations Ranger Groups and other groups’ use of sampling techniques to track biodiversity of species</t>
        </is>
      </c>
    </row>
    <row r="205" ht="23.25" customHeight="1" s="1">
      <c r="A205" s="9" t="inlineStr">
        <is>
          <t>AC9M8ST04</t>
        </is>
      </c>
      <c r="B205" s="9" t="n">
        <v>8</v>
      </c>
      <c r="C205" s="9" t="inlineStr">
        <is>
          <t>Statistics</t>
        </is>
      </c>
      <c r="D205" s="9" t="inlineStr">
        <is>
          <t>plan and conduct statistical investigations involving samples of a population; use ethical and fair methods to make inferences about the population and report findings, acknowledging uncertainty</t>
        </is>
      </c>
      <c r="E205" s="9" t="n">
        <v>1</v>
      </c>
      <c r="F205" s="9" t="inlineStr">
        <is>
          <t>using data such as electricity consumption to draw conclusions about the impacts of events, such as pandemics, on households or business</t>
        </is>
      </c>
    </row>
    <row r="206" ht="23.25" customHeight="1" s="1">
      <c r="A206" s="9" t="inlineStr">
        <is>
          <t>AC9M8ST04</t>
        </is>
      </c>
      <c r="B206" s="9" t="n">
        <v>8</v>
      </c>
      <c r="C206" s="9" t="inlineStr">
        <is>
          <t>Statistics</t>
        </is>
      </c>
      <c r="D206" s="9" t="inlineStr">
        <is>
          <t>plan and conduct statistical investigations involving samples of a population; use ethical and fair methods to make inferences about the population and report findings, acknowledging uncertainty</t>
        </is>
      </c>
      <c r="E206" s="9" t="n">
        <v>2</v>
      </c>
      <c r="F206" s="9" t="inlineStr">
        <is>
          <t>identifying situations where the collection of data from a sample is necessary due to efficiency, cost or restricted time for collection of data, and sufficiently reliable for making inferences about a population</t>
        </is>
      </c>
    </row>
    <row r="207" ht="23.25" customHeight="1" s="1">
      <c r="A207" s="9" t="inlineStr">
        <is>
          <t>AC9M8ST04</t>
        </is>
      </c>
      <c r="B207" s="9" t="n">
        <v>8</v>
      </c>
      <c r="C207" s="9" t="inlineStr">
        <is>
          <t>Statistics</t>
        </is>
      </c>
      <c r="D207" s="9" t="inlineStr">
        <is>
          <t>plan and conduct statistical investigations involving samples of a population; use ethical and fair methods to make inferences about the population and report findings, acknowledging uncertainty</t>
        </is>
      </c>
      <c r="E207" s="9" t="n">
        <v>3</v>
      </c>
      <c r="F207" s="9" t="inlineStr">
        <is>
          <t>exploring progress in reconciliation between First Nations Australians and non-Indigenous Australians, investigating and evaluating sampling techniques and methods to gather relevant data to measure progress</t>
        </is>
      </c>
    </row>
    <row r="208" ht="23.25" customHeight="1" s="1">
      <c r="A208" s="9" t="inlineStr">
        <is>
          <t>AC9M8P01</t>
        </is>
      </c>
      <c r="B208" s="9" t="n">
        <v>8</v>
      </c>
      <c r="C208" s="9" t="inlineStr">
        <is>
          <t>Probability</t>
        </is>
      </c>
      <c r="D208" s="9" t="inlineStr">
        <is>
          <t>recognise that complementary events have a combined probability of one; use this relationship to calculate probabilities in applied contexts</t>
        </is>
      </c>
      <c r="E208" s="9" t="n">
        <v>1</v>
      </c>
      <c r="F208" s="9" t="inlineStr">
        <is>
          <t>understanding that knowing the probability of an event allows the probability of its complement to be found, including for those events that are not equally likely, such as getting a specific novelty toy in a supermarket promotion</t>
        </is>
      </c>
    </row>
    <row r="209" ht="34.5" customHeight="1" s="1">
      <c r="A209" s="9" t="inlineStr">
        <is>
          <t>AC9M8P01</t>
        </is>
      </c>
      <c r="B209" s="9" t="n">
        <v>8</v>
      </c>
      <c r="C209" s="9" t="inlineStr">
        <is>
          <t>Probability</t>
        </is>
      </c>
      <c r="D209" s="9" t="inlineStr">
        <is>
          <t>recognise that complementary events have a combined probability of one; use this relationship to calculate probabilities in applied contexts</t>
        </is>
      </c>
      <c r="E209" s="9" t="n">
        <v>2</v>
      </c>
      <c r="F209" s="9" t="inlineStr">
        <is>
          <t>using the relationship that for a single event A, Pr(A) + Pr(not A) = 1; for example, if the probability that it rains on a particular day is 80%, the probability that it does not rain on that day is 20%, or the probability of not getting a 6 on a single roll of a fair dice is 1-1/6=5/6</t>
        </is>
      </c>
    </row>
    <row r="210" ht="23.25" customHeight="1" s="1">
      <c r="A210" s="9" t="inlineStr">
        <is>
          <t>AC9M8P01</t>
        </is>
      </c>
      <c r="B210" s="9" t="n">
        <v>8</v>
      </c>
      <c r="C210" s="9" t="inlineStr">
        <is>
          <t>Probability</t>
        </is>
      </c>
      <c r="D210" s="9" t="inlineStr">
        <is>
          <t>recognise that complementary events have a combined probability of one; use this relationship to calculate probabilities in applied contexts</t>
        </is>
      </c>
      <c r="E210" s="9" t="n">
        <v>3</v>
      </c>
      <c r="F210" s="9" t="inlineStr">
        <is>
          <t>using the sum of probabilities to solve problems, such as the probability of starting a game by throwing a 5 or 6 on a dice is 1/3 and probability of not throwing a 5 or 6 is 2/3</t>
        </is>
      </c>
    </row>
    <row r="211" ht="23.25" customHeight="1" s="1">
      <c r="A211" s="9" t="inlineStr">
        <is>
          <t>AC9M8P02</t>
        </is>
      </c>
      <c r="B211" s="9" t="n">
        <v>8</v>
      </c>
      <c r="C211" s="9" t="inlineStr">
        <is>
          <t>Probability</t>
        </is>
      </c>
      <c r="D211" s="9" t="inlineStr">
        <is>
          <t>determine all possible combinations for 2 events, using two-way tables, tree diagrams and Venn diagrams, and use these to determine probabilities of specific outcomes in practical situations</t>
        </is>
      </c>
      <c r="E211" s="9" t="n">
        <v>1</v>
      </c>
      <c r="F211" s="9" t="inlineStr">
        <is>
          <t>describing events using language of “at least”, exclusive “or” (A or B but not both), inclusive “or” (A or B or both) and “and”</t>
        </is>
      </c>
    </row>
    <row r="212" ht="23.25" customHeight="1" s="1">
      <c r="A212" s="9" t="inlineStr">
        <is>
          <t>AC9M8P02</t>
        </is>
      </c>
      <c r="B212" s="9" t="n">
        <v>8</v>
      </c>
      <c r="C212" s="9" t="inlineStr">
        <is>
          <t>Probability</t>
        </is>
      </c>
      <c r="D212" s="9" t="inlineStr">
        <is>
          <t>determine all possible combinations for 2 events, using two-way tables, tree diagrams and Venn diagrams, and use these to determine probabilities of specific outcomes in practical situations</t>
        </is>
      </c>
      <c r="E212" s="9" t="n">
        <v>2</v>
      </c>
      <c r="F212" s="9" t="inlineStr">
        <is>
          <t>using the relation Pr(A and B) + Pr(A and not B) + Pr(not A and B) + Pr(not A and not B) = 1 to calculate probabilities, including the special case of mutually exclusive events where Pr(A and B) = 0</t>
        </is>
      </c>
    </row>
    <row r="213" ht="34.5" customHeight="1" s="1">
      <c r="A213" s="9" t="inlineStr">
        <is>
          <t>AC9M8P02</t>
        </is>
      </c>
      <c r="B213" s="9" t="n">
        <v>8</v>
      </c>
      <c r="C213" s="9" t="inlineStr">
        <is>
          <t>Probability</t>
        </is>
      </c>
      <c r="D213" s="9" t="inlineStr">
        <is>
          <t>determine all possible combinations for 2 events, using two-way tables, tree diagrams and Venn diagrams, and use these to determine probabilities of specific outcomes in practical situations</t>
        </is>
      </c>
      <c r="E213" s="9" t="n">
        <v>3</v>
      </c>
      <c r="F213" s="9" t="inlineStr">
        <is>
          <t>using Venn diagrams or two-way tables to demonstrate the difference between events that are mutually exclusive, such as whether a coin toss will land on a head or a tail, or those that are not mutually exclusive, such as people who have blonde hair and people who have blue eyes</t>
        </is>
      </c>
    </row>
    <row r="214" ht="34.5" customHeight="1" s="1">
      <c r="A214" s="9" t="inlineStr">
        <is>
          <t>AC9M8P02</t>
        </is>
      </c>
      <c r="B214" s="9" t="n">
        <v>8</v>
      </c>
      <c r="C214" s="9" t="inlineStr">
        <is>
          <t>Probability</t>
        </is>
      </c>
      <c r="D214" s="9" t="inlineStr">
        <is>
          <t>determine all possible combinations for 2 events, using two-way tables, tree diagrams and Venn diagrams, and use these to determine probabilities of specific outcomes in practical situations</t>
        </is>
      </c>
      <c r="E214" s="9" t="n">
        <v>4</v>
      </c>
      <c r="F214" s="9" t="inlineStr">
        <is>
          <t>exploring First Nations Australian children’s instructive games; for example, Battendi from the Ngarrindjeri Peoples of Lake Murray and Lake Albert in southern Australia, applying possible combinations and relationships and calculating probabilities using two-way tables and Venn diagrams</t>
        </is>
      </c>
    </row>
    <row r="215" ht="23.25" customHeight="1" s="1">
      <c r="A215" s="9" t="inlineStr">
        <is>
          <t>AC9M8P03</t>
        </is>
      </c>
      <c r="B215" s="9" t="n">
        <v>8</v>
      </c>
      <c r="C215" s="9" t="inlineStr">
        <is>
          <t>Probability</t>
        </is>
      </c>
      <c r="D215" s="9" t="inlineStr">
        <is>
          <t>conduct repeated chance experiments and simulations, using digital tools to determine probabilities for compound events, and describe results</t>
        </is>
      </c>
      <c r="E215" s="9" t="n">
        <v>1</v>
      </c>
      <c r="F215" s="9" t="inlineStr">
        <is>
          <t>using digital tools to conduct probability simulations involving compound events</t>
        </is>
      </c>
    </row>
    <row r="216" ht="23.25" customHeight="1" s="1">
      <c r="A216" s="9" t="inlineStr">
        <is>
          <t>AC9M8P03</t>
        </is>
      </c>
      <c r="B216" s="9" t="n">
        <v>8</v>
      </c>
      <c r="C216" s="9" t="inlineStr">
        <is>
          <t>Probability</t>
        </is>
      </c>
      <c r="D216" s="9" t="inlineStr">
        <is>
          <t>conduct repeated chance experiments and simulations, using digital tools to determine probabilities for compound events, and describe results</t>
        </is>
      </c>
      <c r="E216" s="9" t="n">
        <v>2</v>
      </c>
      <c r="F216" s="9" t="inlineStr">
        <is>
          <t>using a random number generator and digital tools to simulate rolling 2 dice and calculating the difference between them, investigating what difference is likely to occur more often</t>
        </is>
      </c>
    </row>
    <row r="217" ht="23.25" customHeight="1" s="1">
      <c r="A217" s="9" t="inlineStr">
        <is>
          <t>AC9M8P03</t>
        </is>
      </c>
      <c r="B217" s="9" t="n">
        <v>8</v>
      </c>
      <c r="C217" s="9" t="inlineStr">
        <is>
          <t>Probability</t>
        </is>
      </c>
      <c r="D217" s="9" t="inlineStr">
        <is>
          <t>conduct repeated chance experiments and simulations, using digital tools to determine probabilities for compound events, and describe results</t>
        </is>
      </c>
      <c r="E217" s="9" t="n">
        <v>3</v>
      </c>
      <c r="F217" s="9" t="inlineStr">
        <is>
          <t>using online simulation software to conduct probability simulations to determine in the long run if events are complementary</t>
        </is>
      </c>
    </row>
    <row r="218" ht="23.25" customHeight="1" s="1">
      <c r="A218" s="9" t="inlineStr">
        <is>
          <t>AC9M9N01</t>
        </is>
      </c>
      <c r="B218" s="9" t="n">
        <v>9</v>
      </c>
      <c r="C218" s="9" t="inlineStr">
        <is>
          <t>Number</t>
        </is>
      </c>
      <c r="D218" s="9" t="inlineStr">
        <is>
          <t>recognise that the real number system includes the rational numbers and the irrational numbers, and solve problems involving real numbers using digital tools</t>
        </is>
      </c>
      <c r="E218" s="9" t="n">
        <v>1</v>
      </c>
      <c r="F218" s="9" t="inlineStr">
        <is>
          <t>investigating the real number system by representing the relationships between irrationals, rationals, integers and natural numbers and discussing the difference between exact representations and approximate decimal representations of irrational numbers</t>
        </is>
      </c>
    </row>
    <row r="219" ht="23.25" customHeight="1" s="1">
      <c r="A219" s="9" t="inlineStr">
        <is>
          <t>AC9M9N01</t>
        </is>
      </c>
      <c r="B219" s="9" t="n">
        <v>9</v>
      </c>
      <c r="C219" s="9" t="inlineStr">
        <is>
          <t>Number</t>
        </is>
      </c>
      <c r="D219" s="9" t="inlineStr">
        <is>
          <t>recognise that the real number system includes the rational numbers and the irrational numbers, and solve problems involving real numbers using digital tools</t>
        </is>
      </c>
      <c r="E219" s="9" t="n">
        <v>2</v>
      </c>
      <c r="F219" s="9" t="inlineStr">
        <is>
          <t>using a real number line to indicate the solution interval for inequalities of the form ax+b &lt;c ; for example, 2x+7&lt;0, or of the form ax+b&gt;c ; for example, 1.2x-5.4&gt;10.8</t>
        </is>
      </c>
    </row>
    <row r="220" ht="23.25" customHeight="1" s="1">
      <c r="A220" s="9" t="inlineStr">
        <is>
          <t>AC9M9N01</t>
        </is>
      </c>
      <c r="B220" s="9" t="n">
        <v>9</v>
      </c>
      <c r="C220" s="9" t="inlineStr">
        <is>
          <t>Number</t>
        </is>
      </c>
      <c r="D220" s="9" t="inlineStr">
        <is>
          <t>recognise that the real number system includes the rational numbers and the irrational numbers, and solve problems involving real numbers using digital tools</t>
        </is>
      </c>
      <c r="E220" s="9" t="n">
        <v>3</v>
      </c>
      <c r="F220" s="9" t="inlineStr">
        <is>
          <t>using positive and negative rational numbers to solve problems; for example, for financial planning such as budgeting</t>
        </is>
      </c>
    </row>
    <row r="221" ht="45.75" customHeight="1" s="1">
      <c r="A221" s="9" t="inlineStr">
        <is>
          <t>AC9M9N01</t>
        </is>
      </c>
      <c r="B221" s="9" t="n">
        <v>9</v>
      </c>
      <c r="C221" s="9" t="inlineStr">
        <is>
          <t>Number</t>
        </is>
      </c>
      <c r="D221" s="9" t="inlineStr">
        <is>
          <t>recognise that the real number system includes the rational numbers and the irrational numbers, and solve problems involving real numbers using digital tools</t>
        </is>
      </c>
      <c r="E221" s="9" t="n">
        <v>4</v>
      </c>
      <c r="F221" s="9" t="inlineStr">
        <is>
          <t>solving problems involving the substitution of real numbers into formulas, understanding that solutions can be represented in exact form or as a decimal approximation, such as calculating the area of a circle using the formula A=πr² and specifying the answer in terms of π as an exact real number; for example, the circumference of a circle with diameter 5 units is 5π units, and the exact area is π(5/2)²=25/4π square units which rounds to 19.63 square units, correct to 2 decimal places</t>
        </is>
      </c>
    </row>
    <row r="222" ht="34.5" customHeight="1" s="1">
      <c r="A222" s="9" t="inlineStr">
        <is>
          <t>AC9M9N01</t>
        </is>
      </c>
      <c r="B222" s="9" t="n">
        <v>9</v>
      </c>
      <c r="C222" s="9" t="inlineStr">
        <is>
          <t>Number</t>
        </is>
      </c>
      <c r="D222" s="9" t="inlineStr">
        <is>
          <t>recognise that the real number system includes the rational numbers and the irrational numbers, and solve problems involving real numbers using digital tools</t>
        </is>
      </c>
      <c r="E222" s="9" t="n">
        <v>5</v>
      </c>
      <c r="F222" s="9" t="inlineStr">
        <is>
          <t>investigating the position of rational and irrational numbers on the real number line, using geometric constructions to locate rational numbers and square roots on a number line; for example, √(2) is located at the intersection of an arc and the number line, where the radius of the arc is the length of the diagonal of a one-unit square</t>
        </is>
      </c>
    </row>
    <row r="223" ht="23.25" customHeight="1" s="1">
      <c r="A223" s="9" t="inlineStr">
        <is>
          <t>AC9M9A01</t>
        </is>
      </c>
      <c r="B223" s="9" t="n">
        <v>9</v>
      </c>
      <c r="C223" s="9" t="inlineStr">
        <is>
          <t>Algebra</t>
        </is>
      </c>
      <c r="D223" s="9" t="inlineStr">
        <is>
          <t>apply the exponent laws to numerical expressions with integer exponents and extend to variables</t>
        </is>
      </c>
      <c r="E223" s="9" t="n">
        <v>1</v>
      </c>
      <c r="F223" s="9" t="inlineStr">
        <is>
          <t>representing decimals in exponential form; for example, 0.475 can be represented as 0.475=4/10+7/100+5/1000=4×10⁻¹+7×10⁻²+5×10⁻³ and 0.00023 as 23 x 10-5</t>
        </is>
      </c>
    </row>
    <row r="224" ht="34.5" customHeight="1" s="1">
      <c r="A224" s="9" t="inlineStr">
        <is>
          <t>AC9M9A01</t>
        </is>
      </c>
      <c r="B224" s="9" t="n">
        <v>9</v>
      </c>
      <c r="C224" s="9" t="inlineStr">
        <is>
          <t>Algebra</t>
        </is>
      </c>
      <c r="D224" s="9" t="inlineStr">
        <is>
          <t>apply the exponent laws to numerical expressions with integer exponents and extend to variables</t>
        </is>
      </c>
      <c r="E224" s="9" t="n">
        <v>2</v>
      </c>
      <c r="F224" s="9" t="inlineStr">
        <is>
          <t>simplifying and evaluating numerical expressions, involving both positive and negative integer exponents, explaining why; for example, 5⁻³=1/5³=(1/5)³=1/125 and connecting terms of the sequence 125, 25, 5, 1, 1/5, 1/25, 1/125… to terms of the sequence 5³, 5²,5¹, 5⁰, 5⁻¹, 5⁻², 5⁻³...</t>
        </is>
      </c>
    </row>
    <row r="225" ht="23.25" customHeight="1" s="1">
      <c r="A225" s="9" t="inlineStr">
        <is>
          <t>AC9M9A01</t>
        </is>
      </c>
      <c r="B225" s="9" t="n">
        <v>9</v>
      </c>
      <c r="C225" s="9" t="inlineStr">
        <is>
          <t>Algebra</t>
        </is>
      </c>
      <c r="D225" s="9" t="inlineStr">
        <is>
          <t>apply the exponent laws to numerical expressions with integer exponents and extend to variables</t>
        </is>
      </c>
      <c r="E225" s="9" t="n">
        <v>3</v>
      </c>
      <c r="F225" s="9" t="inlineStr">
        <is>
          <t>relating the computation of numerical expressions involving exponents to the exponent laws and the definition of an exponent; for example, 2³÷2⁵=2⁻²=1/2²=1/4 and (3×5)²=3²×5²=9×25=225</t>
        </is>
      </c>
    </row>
    <row r="226" ht="23.25" customHeight="1" s="1">
      <c r="A226" s="9" t="inlineStr">
        <is>
          <t>AC9M9A01</t>
        </is>
      </c>
      <c r="B226" s="9" t="n">
        <v>9</v>
      </c>
      <c r="C226" s="9" t="inlineStr">
        <is>
          <t>Algebra</t>
        </is>
      </c>
      <c r="D226" s="9" t="inlineStr">
        <is>
          <t>apply the exponent laws to numerical expressions with integer exponents and extend to variables</t>
        </is>
      </c>
      <c r="E226" s="9" t="n">
        <v>4</v>
      </c>
      <c r="F226" s="9" t="inlineStr">
        <is>
          <t>recognising exponents in algebraic expressions and applying the relevant exponent laws and conventions; for example, for any non-zero natural number a, a⁰=1, x¹=x, r²=r×r, h³=h×h×h, y⁴=y×y×y×y, and 1/w×1/w=1/w²=w⁻²</t>
        </is>
      </c>
    </row>
    <row r="227" ht="34.5" customHeight="1" s="1">
      <c r="A227" s="9" t="inlineStr">
        <is>
          <t>AC9M9A01</t>
        </is>
      </c>
      <c r="B227" s="9" t="n">
        <v>9</v>
      </c>
      <c r="C227" s="9" t="inlineStr">
        <is>
          <t>Algebra</t>
        </is>
      </c>
      <c r="D227" s="9" t="inlineStr">
        <is>
          <t>apply the exponent laws to numerical expressions with integer exponents and extend to variables</t>
        </is>
      </c>
      <c r="E227" s="9" t="n">
        <v>5</v>
      </c>
      <c r="F227" s="9" t="inlineStr">
        <is>
          <t>relating simplification of expressions from first principles and counting to the use of exponent laws; for example, (a²)³=(a×a)×(a×a)×(a×a)=a×a×a×a×a×a=a⁶; b²×b³=(b×b)×(b×b×b)=b×b×b×b×b=b⁵; y⁴/y²=y×y×y×y/y×y=y²/1=y² and (5a)²=(5×a)×(5×a)=5 ×5×a×a=25×a²=25a²</t>
        </is>
      </c>
    </row>
    <row r="228" ht="23.25" customHeight="1" s="1">
      <c r="A228" s="9" t="inlineStr">
        <is>
          <t>AC9M9A01</t>
        </is>
      </c>
      <c r="B228" s="9" t="n">
        <v>9</v>
      </c>
      <c r="C228" s="9" t="inlineStr">
        <is>
          <t>Algebra</t>
        </is>
      </c>
      <c r="D228" s="9" t="inlineStr">
        <is>
          <t>apply the exponent laws to numerical expressions with integer exponents and extend to variables</t>
        </is>
      </c>
      <c r="E228" s="9" t="n">
        <v>6</v>
      </c>
      <c r="F228" s="9" t="inlineStr">
        <is>
          <t>applying the exponent laws to simplifying expressions involving products, quotients, and powers of constants and variables; for example, (2xy)³/xy⁴=8x³y³/xy⁴=8x²y⁻¹</t>
        </is>
      </c>
    </row>
    <row r="229" ht="23.25" customHeight="1" s="1">
      <c r="A229" s="9" t="inlineStr">
        <is>
          <t>AC9M9A01</t>
        </is>
      </c>
      <c r="B229" s="9" t="n">
        <v>9</v>
      </c>
      <c r="C229" s="9" t="inlineStr">
        <is>
          <t>Algebra</t>
        </is>
      </c>
      <c r="D229" s="9" t="inlineStr">
        <is>
          <t>apply the exponent laws to numerical expressions with integer exponents and extend to variables</t>
        </is>
      </c>
      <c r="E229" s="9" t="n">
        <v>7</v>
      </c>
      <c r="F229" s="9" t="inlineStr">
        <is>
          <t>relating the prefixes for SI units from pico- (trillionth) to tera- (trillion) to the corresponding powers of 10; for example, one pico-gram = 10-12 gram and one terabyte = 1012 bytes</t>
        </is>
      </c>
    </row>
    <row r="230" ht="23.25" customHeight="1" s="1">
      <c r="A230" s="9" t="inlineStr">
        <is>
          <t>AC9M9A02</t>
        </is>
      </c>
      <c r="B230" s="9" t="n">
        <v>9</v>
      </c>
      <c r="C230" s="9" t="inlineStr">
        <is>
          <t>Algebra</t>
        </is>
      </c>
      <c r="D230" s="9" t="inlineStr">
        <is>
          <t>simplify algebraic expressions, expand binomial products and factorise monic quadratic expressions</t>
        </is>
      </c>
      <c r="E230" s="9" t="n">
        <v>1</v>
      </c>
      <c r="F230" s="9" t="inlineStr">
        <is>
          <t>expanding combinations of binomials such as (x+7)(x+8), (x+7)(x-8), (x-7)(x+8), (x-7)(x-8) to identify expansion and factorisation patterns related to (x+a)(x+b)=x²+(a+b)x+ab, where a and b are integers</t>
        </is>
      </c>
    </row>
    <row r="231" ht="23.25" customHeight="1" s="1">
      <c r="A231" s="9" t="inlineStr">
        <is>
          <t>AC9M9A02</t>
        </is>
      </c>
      <c r="B231" s="9" t="n">
        <v>9</v>
      </c>
      <c r="C231" s="9" t="inlineStr">
        <is>
          <t>Algebra</t>
        </is>
      </c>
      <c r="D231" s="9" t="inlineStr">
        <is>
          <t>simplify algebraic expressions, expand binomial products and factorise monic quadratic expressions</t>
        </is>
      </c>
      <c r="E231" s="9" t="n">
        <v>2</v>
      </c>
      <c r="F231" s="9" t="inlineStr">
        <is>
          <t>using manipulatives such as algebra tiles or area models to expand or factorise algebraic expressions with readily identifiable binomial factors; for example, (x+1)(x+3)=x²+4x+3, (x-5)²=x²-10x+25 or (x-3)²+4=x²-6x+9+4=x²-6x+13</t>
        </is>
      </c>
    </row>
    <row r="232" ht="23.25" customHeight="1" s="1">
      <c r="A232" s="9" t="inlineStr">
        <is>
          <t>AC9M9A02</t>
        </is>
      </c>
      <c r="B232" s="9" t="n">
        <v>9</v>
      </c>
      <c r="C232" s="9" t="inlineStr">
        <is>
          <t>Algebra</t>
        </is>
      </c>
      <c r="D232" s="9" t="inlineStr">
        <is>
          <t>simplify algebraic expressions, expand binomial products and factorise monic quadratic expressions</t>
        </is>
      </c>
      <c r="E232" s="9" t="n">
        <v>3</v>
      </c>
      <c r="F232" s="9" t="inlineStr">
        <is>
          <t>recognising the relationship between expansion and factorisation, and using digital tools to systematically explore the factorisation of x²+mx+n where m and n are integers</t>
        </is>
      </c>
    </row>
    <row r="233" ht="23.25" customHeight="1" s="1">
      <c r="A233" s="9" t="inlineStr">
        <is>
          <t>AC9M9A03</t>
        </is>
      </c>
      <c r="B233" s="9" t="n">
        <v>9</v>
      </c>
      <c r="C233" s="9" t="inlineStr">
        <is>
          <t>Algebra</t>
        </is>
      </c>
      <c r="D233" s="9" t="inlineStr">
        <is>
          <t>find the gradient of a line segment, the midpoint of the line interval and the distance between 2 distinct points on the Cartesian plane</t>
        </is>
      </c>
      <c r="E233" s="9" t="n">
        <v>1</v>
      </c>
      <c r="F233" s="9" t="inlineStr">
        <is>
          <t>recognising that the gradient of a line is calculated using the gradient of a line segment on that line and is independent of which 2 distinct points on the line are used for this calculation</t>
        </is>
      </c>
    </row>
    <row r="234" ht="23.25" customHeight="1" s="1">
      <c r="A234" s="9" t="inlineStr">
        <is>
          <t>AC9M9A03</t>
        </is>
      </c>
      <c r="B234" s="9" t="n">
        <v>9</v>
      </c>
      <c r="C234" s="9" t="inlineStr">
        <is>
          <t>Algebra</t>
        </is>
      </c>
      <c r="D234" s="9" t="inlineStr">
        <is>
          <t>find the gradient of a line segment, the midpoint of the line interval and the distance between 2 distinct points on the Cartesian plane</t>
        </is>
      </c>
      <c r="E234" s="9" t="n">
        <v>2</v>
      </c>
      <c r="F234" s="9" t="inlineStr">
        <is>
          <t>using digital tools and transformations to illustrate that parallel lines in the Cartesian plane have the same gradient and that the relationship between the gradients of pairs of perpendicular lines is that their product is (-1)</t>
        </is>
      </c>
    </row>
    <row r="235" ht="23.25" customHeight="1" s="1">
      <c r="A235" s="9" t="inlineStr">
        <is>
          <t>AC9M9A03</t>
        </is>
      </c>
      <c r="B235" s="9" t="n">
        <v>9</v>
      </c>
      <c r="C235" s="9" t="inlineStr">
        <is>
          <t>Algebra</t>
        </is>
      </c>
      <c r="D235" s="9" t="inlineStr">
        <is>
          <t>find the gradient of a line segment, the midpoint of the line interval and the distance between 2 distinct points on the Cartesian plane</t>
        </is>
      </c>
      <c r="E235" s="9" t="n">
        <v>3</v>
      </c>
      <c r="F235" s="9" t="inlineStr">
        <is>
          <t>using Pythagoras’ theorem to establish the distance between 2 points in the Cartesian plane and applying this using horizontal and vertical distances and coordinates</t>
        </is>
      </c>
    </row>
    <row r="236" ht="23.25" customHeight="1" s="1">
      <c r="A236" s="9" t="inlineStr">
        <is>
          <t>AC9M9A03</t>
        </is>
      </c>
      <c r="B236" s="9" t="n">
        <v>9</v>
      </c>
      <c r="C236" s="9" t="inlineStr">
        <is>
          <t>Algebra</t>
        </is>
      </c>
      <c r="D236" s="9" t="inlineStr">
        <is>
          <t>find the gradient of a line segment, the midpoint of the line interval and the distance between 2 distinct points on the Cartesian plane</t>
        </is>
      </c>
      <c r="E236" s="9" t="n">
        <v>4</v>
      </c>
      <c r="F236" s="9" t="inlineStr">
        <is>
          <t>investigating graphical and algebraic techniques for finding the midpoint and gradient of the line segment between 2 points</t>
        </is>
      </c>
    </row>
    <row r="237" ht="34.5" customHeight="1" s="1">
      <c r="A237" s="9" t="inlineStr">
        <is>
          <t>AC9M9A03</t>
        </is>
      </c>
      <c r="B237" s="9" t="n">
        <v>9</v>
      </c>
      <c r="C237" s="9" t="inlineStr">
        <is>
          <t>Algebra</t>
        </is>
      </c>
      <c r="D237" s="9" t="inlineStr">
        <is>
          <t>find the gradient of a line segment, the midpoint of the line interval and the distance between 2 distinct points on the Cartesian plane</t>
        </is>
      </c>
      <c r="E237" s="9" t="n">
        <v>5</v>
      </c>
      <c r="F237" s="9" t="inlineStr">
        <is>
          <t>using dynamic graphing software and superimposed images; for example, playground equipment, ramps and escalators, to investigate gradients in context and their relationship to rule of a linear function, and interpret gradient as a constant rate of change in linear modelling contexts</t>
        </is>
      </c>
    </row>
    <row r="238" ht="34.5" customHeight="1" s="1">
      <c r="A238" s="9" t="inlineStr">
        <is>
          <t>AC9M9A04</t>
        </is>
      </c>
      <c r="B238" s="9" t="n">
        <v>9</v>
      </c>
      <c r="C238" s="9" t="inlineStr">
        <is>
          <t>Algebra</t>
        </is>
      </c>
      <c r="D238" s="9" t="inlineStr">
        <is>
          <t>identify and graph quadratic functions, solve quadratic equations graphically and numerically, and solve monic quadratic equations with integer roots algebraically, using graphing software and digital tools as appropriate</t>
        </is>
      </c>
      <c r="E238" s="9" t="n">
        <v>1</v>
      </c>
      <c r="F238" s="9" t="inlineStr">
        <is>
          <t>recognising that in a table of values, if the second difference between consecutive values of the dependent variable is constant, then it is a quadratic</t>
        </is>
      </c>
    </row>
    <row r="239" ht="34.5" customHeight="1" s="1">
      <c r="A239" s="9" t="inlineStr">
        <is>
          <t>AC9M9A04</t>
        </is>
      </c>
      <c r="B239" s="9" t="n">
        <v>9</v>
      </c>
      <c r="C239" s="9" t="inlineStr">
        <is>
          <t>Algebra</t>
        </is>
      </c>
      <c r="D239" s="9" t="inlineStr">
        <is>
          <t>identify and graph quadratic functions, solve quadratic equations graphically and numerically, and solve monic quadratic equations with integer roots algebraically, using graphing software and digital tools as appropriate</t>
        </is>
      </c>
      <c r="E239" s="9" t="n">
        <v>2</v>
      </c>
      <c r="F239" s="9" t="inlineStr">
        <is>
          <t>graphing quadratic functions using digital tools and comparing what is the same and what is different between these different functions and their respective graphs; interpreting features of the graphs such as symmetry, turning point, maximum and minimum values, and determining when values of the quadratic function lie within a given range</t>
        </is>
      </c>
    </row>
    <row r="240" ht="34.5" customHeight="1" s="1">
      <c r="A240" s="9" t="inlineStr">
        <is>
          <t>AC9M9A04</t>
        </is>
      </c>
      <c r="B240" s="9" t="n">
        <v>9</v>
      </c>
      <c r="C240" s="9" t="inlineStr">
        <is>
          <t>Algebra</t>
        </is>
      </c>
      <c r="D240" s="9" t="inlineStr">
        <is>
          <t>identify and graph quadratic functions, solve quadratic equations graphically and numerically, and solve monic quadratic equations with integer roots algebraically, using graphing software and digital tools as appropriate</t>
        </is>
      </c>
      <c r="E240" s="9" t="n">
        <v>3</v>
      </c>
      <c r="F240" s="9" t="inlineStr">
        <is>
          <t>solving quadratic equations algebraically and comparing these to graphical solutions</t>
        </is>
      </c>
    </row>
    <row r="241" ht="34.5" customHeight="1" s="1">
      <c r="A241" s="9" t="inlineStr">
        <is>
          <t>AC9M9A04</t>
        </is>
      </c>
      <c r="B241" s="9" t="n">
        <v>9</v>
      </c>
      <c r="C241" s="9" t="inlineStr">
        <is>
          <t>Algebra</t>
        </is>
      </c>
      <c r="D241" s="9" t="inlineStr">
        <is>
          <t>identify and graph quadratic functions, solve quadratic equations graphically and numerically, and solve monic quadratic equations with integer roots algebraically, using graphing software and digital tools as appropriate</t>
        </is>
      </c>
      <c r="E241" s="9" t="n">
        <v>4</v>
      </c>
      <c r="F241" s="9" t="inlineStr">
        <is>
          <t>using graphs to determine the solutions of quadratic equations; recognising that the roots of a quadratic function correspond to the x-intercepts of its graph and that if the graph has no x-intercepts, then the corresponding equation has no real solutions</t>
        </is>
      </c>
    </row>
    <row r="242" ht="34.5" customHeight="1" s="1">
      <c r="A242" s="9" t="inlineStr">
        <is>
          <t>AC9M9A04</t>
        </is>
      </c>
      <c r="B242" s="9" t="n">
        <v>9</v>
      </c>
      <c r="C242" s="9" t="inlineStr">
        <is>
          <t>Algebra</t>
        </is>
      </c>
      <c r="D242" s="9" t="inlineStr">
        <is>
          <t>identify and graph quadratic functions, solve quadratic equations graphically and numerically, and solve monic quadratic equations with integer roots algebraically, using graphing software and digital tools as appropriate</t>
        </is>
      </c>
      <c r="E242" s="9" t="n">
        <v>5</v>
      </c>
      <c r="F242" s="9" t="inlineStr">
        <is>
          <t>relating horizontal axis intercepts of the graph of a quadratic function to the factorised form of its rule using the null factor law; for example, the graph of the function y=x²-5x+6 can be represented as y=(x-2)(x-3) with x-axis intercepts where either (x-2)=0 or (x-3)=0</t>
        </is>
      </c>
    </row>
    <row r="243" ht="34.5" customHeight="1" s="1">
      <c r="A243" s="9" t="inlineStr">
        <is>
          <t>AC9M9A04</t>
        </is>
      </c>
      <c r="B243" s="9" t="n">
        <v>9</v>
      </c>
      <c r="C243" s="9" t="inlineStr">
        <is>
          <t>Algebra</t>
        </is>
      </c>
      <c r="D243" s="9" t="inlineStr">
        <is>
          <t>identify and graph quadratic functions, solve quadratic equations graphically and numerically, and solve monic quadratic equations with integer roots algebraically, using graphing software and digital tools as appropriate</t>
        </is>
      </c>
      <c r="E243" s="9" t="n">
        <v>6</v>
      </c>
      <c r="F243" s="9" t="inlineStr">
        <is>
          <t>recognising that the equation x²=a, where a&gt;0, has 2 solutions, x=√(a) and x=-√(a) ; for example, if x²=39 then x=√(39)=6.245 correct to 3 decimal places, or x=-√(39)=-6.245 correct to 3 decimal places, and representing these graphically</t>
        </is>
      </c>
    </row>
    <row r="244" ht="34.5" customHeight="1" s="1">
      <c r="A244" s="9" t="inlineStr">
        <is>
          <t>AC9M9A04</t>
        </is>
      </c>
      <c r="B244" s="9" t="n">
        <v>9</v>
      </c>
      <c r="C244" s="9" t="inlineStr">
        <is>
          <t>Algebra</t>
        </is>
      </c>
      <c r="D244" s="9" t="inlineStr">
        <is>
          <t>identify and graph quadratic functions, solve quadratic equations graphically and numerically, and solve monic quadratic equations with integer roots algebraically, using graphing software and digital tools as appropriate</t>
        </is>
      </c>
      <c r="E244" s="9" t="n">
        <v>7</v>
      </c>
      <c r="F244" s="9" t="inlineStr">
        <is>
          <t>graphing percentages of illumination of moon phases in relation to First Nations Australians’ understandings that describe the different phases of the moon</t>
        </is>
      </c>
    </row>
    <row r="245" ht="34.5" customHeight="1" s="1">
      <c r="A245" s="9" t="inlineStr">
        <is>
          <t>AC9M9A05</t>
        </is>
      </c>
      <c r="B245" s="9" t="n">
        <v>9</v>
      </c>
      <c r="C245" s="9" t="inlineStr">
        <is>
          <t>Algebra</t>
        </is>
      </c>
      <c r="D245" s="9" t="inlineStr">
        <is>
          <t>use mathematical modelling to solve applied problems involving change including financial contexts; formulate problems, choosing to use either linear or quadratic functions; interpret solutions in terms of the situation; evaluate the model and report methods and findings</t>
        </is>
      </c>
      <c r="E245" s="9" t="n">
        <v>1</v>
      </c>
      <c r="F245" s="9" t="inlineStr">
        <is>
          <t>modelling practical contexts using linear functions such as cooking times that include resting or cooling times, or water leakage from water tanks, using tables and graphs or digital tools and algebraically</t>
        </is>
      </c>
    </row>
    <row r="246" ht="34.5" customHeight="1" s="1">
      <c r="A246" s="9" t="inlineStr">
        <is>
          <t>AC9M9A05</t>
        </is>
      </c>
      <c r="B246" s="9" t="n">
        <v>9</v>
      </c>
      <c r="C246" s="9" t="inlineStr">
        <is>
          <t>Algebra</t>
        </is>
      </c>
      <c r="D246" s="9" t="inlineStr">
        <is>
          <t>use mathematical modelling to solve applied problems involving change including financial contexts; formulate problems, choosing to use either linear or quadratic functions; interpret solutions in terms of the situation; evaluate the model and report methods and findings</t>
        </is>
      </c>
      <c r="E246" s="9" t="n">
        <v>2</v>
      </c>
      <c r="F246" s="9" t="inlineStr">
        <is>
          <t>modelling measurement situations and determining the perimeter and areas of rectangles where the length, l, of the rectangle is a linear function of its width, w; for example, l=w, l=w+5, l=3w, l=2w+7</t>
        </is>
      </c>
    </row>
    <row r="247" ht="34.5" customHeight="1" s="1">
      <c r="A247" s="9" t="inlineStr">
        <is>
          <t>AC9M9A05</t>
        </is>
      </c>
      <c r="B247" s="9" t="n">
        <v>9</v>
      </c>
      <c r="C247" s="9" t="inlineStr">
        <is>
          <t>Algebra</t>
        </is>
      </c>
      <c r="D247" s="9" t="inlineStr">
        <is>
          <t>use mathematical modelling to solve applied problems involving change including financial contexts; formulate problems, choosing to use either linear or quadratic functions; interpret solutions in terms of the situation; evaluate the model and report methods and findings</t>
        </is>
      </c>
      <c r="E247" s="9" t="n">
        <v>3</v>
      </c>
      <c r="F247" s="9" t="inlineStr">
        <is>
          <t>modelling practical contexts using simple quadratic functions, tables and graphs (hand drawn or using digital tools) and algebraically, interpreting features of the graphs such as the turning point and intercepts in context; for example, area, paths of projectiles, parabolic mirrors, satellite dishes</t>
        </is>
      </c>
    </row>
    <row r="248" ht="34.5" customHeight="1" s="1">
      <c r="A248" s="9" t="inlineStr">
        <is>
          <t>AC9M9A05</t>
        </is>
      </c>
      <c r="B248" s="9" t="n">
        <v>9</v>
      </c>
      <c r="C248" s="9" t="inlineStr">
        <is>
          <t>Algebra</t>
        </is>
      </c>
      <c r="D248" s="9" t="inlineStr">
        <is>
          <t>use mathematical modelling to solve applied problems involving change including financial contexts; formulate problems, choosing to use either linear or quadratic functions; interpret solutions in terms of the situation; evaluate the model and report methods and findings</t>
        </is>
      </c>
      <c r="E248" s="9" t="n">
        <v>4</v>
      </c>
      <c r="F248" s="9" t="inlineStr">
        <is>
          <t>modelling and solving problems involving financial contexts using linear functions; for example, combinations of purchases of different items when they have a set amount of money to spend, profit/loss situations and trade quotes involving call out fees</t>
        </is>
      </c>
    </row>
    <row r="249" ht="34.5" customHeight="1" s="1">
      <c r="A249" s="9" t="inlineStr">
        <is>
          <t>AC9M9A05</t>
        </is>
      </c>
      <c r="B249" s="9" t="n">
        <v>9</v>
      </c>
      <c r="C249" s="9" t="inlineStr">
        <is>
          <t>Algebra</t>
        </is>
      </c>
      <c r="D249" s="9" t="inlineStr">
        <is>
          <t>use mathematical modelling to solve applied problems involving change including financial contexts; formulate problems, choosing to use either linear or quadratic functions; interpret solutions in terms of the situation; evaluate the model and report methods and findings</t>
        </is>
      </c>
      <c r="E249" s="9" t="n">
        <v>5</v>
      </c>
      <c r="F249" s="9" t="inlineStr">
        <is>
          <t>modelling situations involving change; for example, change in daily temperature during the ski season, fluctuation of speed above and below the speed limit, acceleration and deceleration of a car coming to and moving off from a set of traffic lights</t>
        </is>
      </c>
    </row>
    <row r="250" ht="34.5" customHeight="1" s="1">
      <c r="A250" s="9" t="inlineStr">
        <is>
          <t>AC9M9A05</t>
        </is>
      </c>
      <c r="B250" s="9" t="n">
        <v>9</v>
      </c>
      <c r="C250" s="9" t="inlineStr">
        <is>
          <t>Algebra</t>
        </is>
      </c>
      <c r="D250" s="9" t="inlineStr">
        <is>
          <t>use mathematical modelling to solve applied problems involving change including financial contexts; formulate problems, choosing to use either linear or quadratic functions; interpret solutions in terms of the situation; evaluate the model and report methods and findings</t>
        </is>
      </c>
      <c r="E250" s="9" t="n">
        <v>6</v>
      </c>
      <c r="F250" s="9" t="inlineStr">
        <is>
          <t>modelling the hunting techniques of First Nations Australians using quadratic functions and exploring the effect of increasing the number of hunters to catch more prey</t>
        </is>
      </c>
    </row>
    <row r="251" ht="34.5" customHeight="1" s="1">
      <c r="A251" s="9" t="inlineStr">
        <is>
          <t>AC9M9A06</t>
        </is>
      </c>
      <c r="B251" s="9" t="n">
        <v>9</v>
      </c>
      <c r="C251" s="9" t="inlineStr">
        <is>
          <t>Algebra</t>
        </is>
      </c>
      <c r="D251" s="9" t="inlineStr">
        <is>
          <t>experiment with the effects of the variation of parameters on graphs of related functions, using digital tools, making connections between graphical and algebraic representations, and generalising emerging patterns</t>
        </is>
      </c>
      <c r="E251" s="9" t="n">
        <v>1</v>
      </c>
      <c r="F251" s="9" t="inlineStr">
        <is>
          <t>investigating transformations of the graph of y=x to the graph of y=ax+b by systematic variation of a and b and interpreting the effects of these transformations using digital tools; for example, y=x→y=2x (vertical enlargement as a&gt;1) →y=2x-1 (vertical translation) and y=x→y=1/2x (vertical compression as a&lt;1) →y=-1/2x (reflection in the horizontal axis) →y=-1/2x+3 (vertical translation)</t>
        </is>
      </c>
    </row>
    <row r="252" ht="57" customHeight="1" s="1">
      <c r="A252" s="9" t="inlineStr">
        <is>
          <t>AC9M9A06</t>
        </is>
      </c>
      <c r="B252" s="9" t="n">
        <v>9</v>
      </c>
      <c r="C252" s="9" t="inlineStr">
        <is>
          <t>Algebra</t>
        </is>
      </c>
      <c r="D252" s="9" t="inlineStr">
        <is>
          <t>experiment with the effects of the variation of parameters on graphs of related functions, using digital tools, making connections between graphical and algebraic representations, and generalising emerging patterns</t>
        </is>
      </c>
      <c r="E252" s="9" t="n">
        <v>2</v>
      </c>
      <c r="F252" s="9" t="inlineStr">
        <is>
          <t>investigating transformations of the parabola y=x² in the Cartesian plane using digital tools to determine the relationship between graphical and algebraic representations of quadratic functions, including the completed square form; for example, y=x²→y=1/3x² (vertical compression as a&lt;1) →y=1/3(x-5)² (horizontal translation) →y=1/3(x-5)²+7 (vertical translation) or y=x²→y=2x² (vertical enlargement as a&gt;1) →y=-2x² (reflection in the horizontal axis) →y=-2(x+6)² (horizontal translation) →y=-2(x+6)²+10 (vertical translation)</t>
        </is>
      </c>
    </row>
    <row r="253" ht="23.25" customHeight="1" s="1">
      <c r="A253" s="9" t="inlineStr">
        <is>
          <t>AC9M9A06</t>
        </is>
      </c>
      <c r="B253" s="9" t="n">
        <v>9</v>
      </c>
      <c r="C253" s="9" t="inlineStr">
        <is>
          <t>Algebra</t>
        </is>
      </c>
      <c r="D253" s="9" t="inlineStr">
        <is>
          <t>experiment with the effects of the variation of parameters on graphs of related functions, using digital tools, making connections between graphical and algebraic representations, and generalising emerging patterns</t>
        </is>
      </c>
      <c r="E253" s="9" t="n">
        <v>3</v>
      </c>
      <c r="F253" s="9" t="inlineStr">
        <is>
          <t>experimenting with digital tools by applying transformations to the graphs of functions, such as reciprocal y=1/x, square root y=√(x), cube y=x³and exponential functions, y=2ˣ, y=(1/2)ˣ, identifying patterns</t>
        </is>
      </c>
    </row>
    <row r="254" ht="15" customHeight="1" s="1">
      <c r="A254" s="9" t="inlineStr">
        <is>
          <t>AC9M9M01</t>
        </is>
      </c>
      <c r="B254" s="9" t="n">
        <v>9</v>
      </c>
      <c r="C254" s="9" t="inlineStr">
        <is>
          <t>Measurement</t>
        </is>
      </c>
      <c r="D254" s="9" t="inlineStr">
        <is>
          <t>solve problems involving the volume and surface area of right prisms and cylinders using appropriate units</t>
        </is>
      </c>
      <c r="E254" s="9" t="n">
        <v>1</v>
      </c>
      <c r="F254" s="9" t="inlineStr">
        <is>
          <t>analysing nets of objects to generate short cuts and establish formulas for surface area</t>
        </is>
      </c>
    </row>
    <row r="255" ht="23.25" customHeight="1" s="1">
      <c r="A255" s="9" t="inlineStr">
        <is>
          <t>AC9M9M01</t>
        </is>
      </c>
      <c r="B255" s="9" t="n">
        <v>9</v>
      </c>
      <c r="C255" s="9" t="inlineStr">
        <is>
          <t>Measurement</t>
        </is>
      </c>
      <c r="D255" s="9" t="inlineStr">
        <is>
          <t>solve problems involving the volume and surface area of right prisms and cylinders using appropriate units</t>
        </is>
      </c>
      <c r="E255" s="9" t="n">
        <v>2</v>
      </c>
      <c r="F255" s="9" t="inlineStr">
        <is>
          <t>determining the amount of material needed to make can-coolers for a class fundraising project and working out the most cost-efficient way to cut out the pieces</t>
        </is>
      </c>
    </row>
    <row r="256" ht="23.25" customHeight="1" s="1">
      <c r="A256" s="9" t="inlineStr">
        <is>
          <t>AC9M9M01</t>
        </is>
      </c>
      <c r="B256" s="9" t="n">
        <v>9</v>
      </c>
      <c r="C256" s="9" t="inlineStr">
        <is>
          <t>Measurement</t>
        </is>
      </c>
      <c r="D256" s="9" t="inlineStr">
        <is>
          <t>solve problems involving the volume and surface area of right prisms and cylinders using appropriate units</t>
        </is>
      </c>
      <c r="E256" s="9" t="n">
        <v>3</v>
      </c>
      <c r="F256" s="9" t="inlineStr">
        <is>
          <t>finding different prisms that have the same volume but different surface areas, making conjectures as to what type of prism would have the smallest or largest surface area</t>
        </is>
      </c>
    </row>
    <row r="257" ht="23.25" customHeight="1" s="1">
      <c r="A257" s="9" t="inlineStr">
        <is>
          <t>AC9M9M01</t>
        </is>
      </c>
      <c r="B257" s="9" t="n">
        <v>9</v>
      </c>
      <c r="C257" s="9" t="inlineStr">
        <is>
          <t>Measurement</t>
        </is>
      </c>
      <c r="D257" s="9" t="inlineStr">
        <is>
          <t>solve problems involving the volume and surface area of right prisms and cylinders using appropriate units</t>
        </is>
      </c>
      <c r="E257" s="9" t="n">
        <v>4</v>
      </c>
      <c r="F257" s="9" t="inlineStr">
        <is>
          <t>investigating objects and technologies of First Nations Australians, analysing and connecting surface area and volume, and exploring their relationship to their capacity</t>
        </is>
      </c>
    </row>
    <row r="258" ht="34.5" customHeight="1" s="1">
      <c r="A258" s="9" t="inlineStr">
        <is>
          <t>AC9M9M02</t>
        </is>
      </c>
      <c r="B258" s="9" t="n">
        <v>9</v>
      </c>
      <c r="C258" s="9" t="inlineStr">
        <is>
          <t>Measurement</t>
        </is>
      </c>
      <c r="D258" s="9" t="inlineStr">
        <is>
          <t>solve problems involving very small and very large measurements, time scales and intervals expressed in scientific notation</t>
        </is>
      </c>
      <c r="E258" s="9" t="n">
        <v>1</v>
      </c>
      <c r="F258" s="9" t="inlineStr">
        <is>
          <t>representing very large and small real numbers in scientific notation, converting real numbers expressed in scientific notation into decimal form; for example, the approximate geological age of the earth is 4.6 × 109 years, the mass of a sugar molecule is 5.68 × 10-21 grams</t>
        </is>
      </c>
    </row>
    <row r="259" ht="23.25" customHeight="1" s="1">
      <c r="A259" s="9" t="inlineStr">
        <is>
          <t>AC9M9M02</t>
        </is>
      </c>
      <c r="B259" s="9" t="n">
        <v>9</v>
      </c>
      <c r="C259" s="9" t="inlineStr">
        <is>
          <t>Measurement</t>
        </is>
      </c>
      <c r="D259" s="9" t="inlineStr">
        <is>
          <t>solve problems involving very small and very large measurements, time scales and intervals expressed in scientific notation</t>
        </is>
      </c>
      <c r="E259" s="9" t="n">
        <v>2</v>
      </c>
      <c r="F259" s="9" t="inlineStr">
        <is>
          <t>using knowledge of place value and applying exponent laws to operate with numbers expressed in scientific notation in applied contexts; for example, performing calculations involving extremely small numbers in scientific and other contexts</t>
        </is>
      </c>
    </row>
    <row r="260" ht="23.25" customHeight="1" s="1">
      <c r="A260" s="9" t="inlineStr">
        <is>
          <t>AC9M9M02</t>
        </is>
      </c>
      <c r="B260" s="9" t="n">
        <v>9</v>
      </c>
      <c r="C260" s="9" t="inlineStr">
        <is>
          <t>Measurement</t>
        </is>
      </c>
      <c r="D260" s="9" t="inlineStr">
        <is>
          <t>solve problems involving very small and very large measurements, time scales and intervals expressed in scientific notation</t>
        </is>
      </c>
      <c r="E260" s="9" t="n">
        <v>3</v>
      </c>
      <c r="F260" s="9" t="inlineStr">
        <is>
          <t>examining the degree of accuracy that different measurement instruments provide in a science laboratory, such as a measuring cylinder compared with a pipette, and recording data values to the correct degree of accuracy using appropriate scientific notation</t>
        </is>
      </c>
    </row>
    <row r="261" ht="23.25" customHeight="1" s="1">
      <c r="A261" s="9" t="inlineStr">
        <is>
          <t>AC9M9M03</t>
        </is>
      </c>
      <c r="B261" s="9" t="n">
        <v>9</v>
      </c>
      <c r="C261" s="9" t="inlineStr">
        <is>
          <t>Measurement</t>
        </is>
      </c>
      <c r="D261" s="9" t="inlineStr">
        <is>
          <t>solve spatial problems, applying angle properties, scale, similarity, Pythagoras’ theorem and trigonometry in right-angled triangles</t>
        </is>
      </c>
      <c r="E261" s="9" t="n">
        <v>1</v>
      </c>
      <c r="F261" s="9" t="inlineStr">
        <is>
          <t>investigating the applications of Pythagoras' theorem in authentic problems, including applying Pythagoras' theorem and trigonometry to problems in surveying and design</t>
        </is>
      </c>
    </row>
    <row r="262" ht="23.25" customHeight="1" s="1">
      <c r="A262" s="9" t="inlineStr">
        <is>
          <t>AC9M9M03</t>
        </is>
      </c>
      <c r="B262" s="9" t="n">
        <v>9</v>
      </c>
      <c r="C262" s="9" t="inlineStr">
        <is>
          <t>Measurement</t>
        </is>
      </c>
      <c r="D262" s="9" t="inlineStr">
        <is>
          <t>solve spatial problems, applying angle properties, scale, similarity, Pythagoras’ theorem and trigonometry in right-angled triangles</t>
        </is>
      </c>
      <c r="E262" s="9" t="n">
        <v>2</v>
      </c>
      <c r="F262" s="9" t="inlineStr">
        <is>
          <t>applying the formula for calculation of distances between points on the Cartesian plane from their coordinates, emphasising the connection to vertical and horizontal displacements between the points</t>
        </is>
      </c>
    </row>
    <row r="263" ht="23.25" customHeight="1" s="1">
      <c r="A263" s="9" t="inlineStr">
        <is>
          <t>AC9M9M03</t>
        </is>
      </c>
      <c r="B263" s="9" t="n">
        <v>9</v>
      </c>
      <c r="C263" s="9" t="inlineStr">
        <is>
          <t>Measurement</t>
        </is>
      </c>
      <c r="D263" s="9" t="inlineStr">
        <is>
          <t>solve spatial problems, applying angle properties, scale, similarity, Pythagoras’ theorem and trigonometry in right-angled triangles</t>
        </is>
      </c>
      <c r="E263" s="9" t="n">
        <v>3</v>
      </c>
      <c r="F263" s="9" t="inlineStr">
        <is>
          <t>understanding the relationship between the corresponding sides of similar right-angled triangles and establishing the relationship between areas of similar figures and the ratio of corresponding sides, the scale factor</t>
        </is>
      </c>
    </row>
    <row r="264" ht="34.5" customHeight="1" s="1">
      <c r="A264" s="9" t="inlineStr">
        <is>
          <t>AC9M9M03</t>
        </is>
      </c>
      <c r="B264" s="9" t="n">
        <v>9</v>
      </c>
      <c r="C264" s="9" t="inlineStr">
        <is>
          <t>Measurement</t>
        </is>
      </c>
      <c r="D264" s="9" t="inlineStr">
        <is>
          <t>solve spatial problems, applying angle properties, scale, similarity, Pythagoras’ theorem and trigonometry in right-angled triangles</t>
        </is>
      </c>
      <c r="E264" s="9" t="n">
        <v>4</v>
      </c>
      <c r="F264" s="9" t="inlineStr">
        <is>
          <t>using images of proportional relationships to estimate actual measurements; for example, taking a photograph of a person standing in front of a tree and using the image and scale to estimate the height of the tree, discussing the findings and ways to improve the estimates</t>
        </is>
      </c>
    </row>
    <row r="265" ht="34.5" customHeight="1" s="1">
      <c r="A265" s="9" t="inlineStr">
        <is>
          <t>AC9M9M03</t>
        </is>
      </c>
      <c r="B265" s="9" t="n">
        <v>9</v>
      </c>
      <c r="C265" s="9" t="inlineStr">
        <is>
          <t>Measurement</t>
        </is>
      </c>
      <c r="D265" s="9" t="inlineStr">
        <is>
          <t>solve spatial problems, applying angle properties, scale, similarity, Pythagoras’ theorem and trigonometry in right-angled triangles</t>
        </is>
      </c>
      <c r="E265" s="9" t="n">
        <v>5</v>
      </c>
      <c r="F265" s="9" t="inlineStr">
        <is>
          <t>investigating theorems and conjectures involving triangles; for example, the triangle inequality and generalising links between the Pythagorean rule for right-angled triangles, and related inequalities for acute and obtuse triangles; determining the minimal sets of information for a triangle from which other measures can all be determined</t>
        </is>
      </c>
    </row>
    <row r="266" ht="34.5" customHeight="1" s="1">
      <c r="A266" s="9" t="inlineStr">
        <is>
          <t>AC9M9M03</t>
        </is>
      </c>
      <c r="B266" s="9" t="n">
        <v>9</v>
      </c>
      <c r="C266" s="9" t="inlineStr">
        <is>
          <t>Measurement</t>
        </is>
      </c>
      <c r="D266" s="9" t="inlineStr">
        <is>
          <t>solve spatial problems, applying angle properties, scale, similarity, Pythagoras’ theorem and trigonometry in right-angled triangles</t>
        </is>
      </c>
      <c r="E266" s="9" t="n">
        <v>6</v>
      </c>
      <c r="F266" s="9" t="inlineStr">
        <is>
          <t>using knowledge of similar triangles, Pythagoras’ theorem, rates and algebra to design and construct a Biltmore stick used to measure the diameter and height of a tree, and calculating the density and dry mass to predict how much paper could be manufactured from the tree</t>
        </is>
      </c>
    </row>
    <row r="267" ht="23.25" customHeight="1" s="1">
      <c r="A267" s="9" t="inlineStr">
        <is>
          <t>AC9M9M04</t>
        </is>
      </c>
      <c r="B267" s="9" t="n">
        <v>9</v>
      </c>
      <c r="C267" s="9" t="inlineStr">
        <is>
          <t>Measurement</t>
        </is>
      </c>
      <c r="D267" s="9" t="inlineStr">
        <is>
          <t>calculate and interpret absolute, relative and percentage errors in measurements, recognising that all measurements are estimates</t>
        </is>
      </c>
      <c r="E267" s="9" t="n">
        <v>1</v>
      </c>
      <c r="F267" s="9" t="inlineStr">
        <is>
          <t>investigating error as a percentage of the exact value; for example, comparing an estimation of the number of people expected to come to an event by subtracting the actual number that turned up to give an error, then converting this into a percentage error</t>
        </is>
      </c>
    </row>
    <row r="268" ht="23.25" customHeight="1" s="1">
      <c r="A268" s="9" t="inlineStr">
        <is>
          <t>AC9M9M04</t>
        </is>
      </c>
      <c r="B268" s="9" t="n">
        <v>9</v>
      </c>
      <c r="C268" s="9" t="inlineStr">
        <is>
          <t>Measurement</t>
        </is>
      </c>
      <c r="D268" s="9" t="inlineStr">
        <is>
          <t>calculate and interpret absolute, relative and percentage errors in measurements, recognising that all measurements are estimates</t>
        </is>
      </c>
      <c r="E268" s="9" t="n">
        <v>2</v>
      </c>
      <c r="F268" s="9" t="inlineStr">
        <is>
          <t>using absolute value in a percentage error formula; considering when they would use the absolute value and when they would not, depending upon the context</t>
        </is>
      </c>
    </row>
    <row r="269" ht="23.25" customHeight="1" s="1">
      <c r="A269" s="9" t="inlineStr">
        <is>
          <t>AC9M9M04</t>
        </is>
      </c>
      <c r="B269" s="9" t="n">
        <v>9</v>
      </c>
      <c r="C269" s="9" t="inlineStr">
        <is>
          <t>Measurement</t>
        </is>
      </c>
      <c r="D269" s="9" t="inlineStr">
        <is>
          <t>calculate and interpret absolute, relative and percentage errors in measurements, recognising that all measurements are estimates</t>
        </is>
      </c>
      <c r="E269" s="9" t="n">
        <v>3</v>
      </c>
      <c r="F269" s="9" t="inlineStr">
        <is>
          <t>calculating the percentage errors in expected budgets to actual expenditure</t>
        </is>
      </c>
    </row>
    <row r="270" ht="23.25" customHeight="1" s="1">
      <c r="A270" s="9" t="inlineStr">
        <is>
          <t>AC9M9M04</t>
        </is>
      </c>
      <c r="B270" s="9" t="n">
        <v>9</v>
      </c>
      <c r="C270" s="9" t="inlineStr">
        <is>
          <t>Measurement</t>
        </is>
      </c>
      <c r="D270" s="9" t="inlineStr">
        <is>
          <t>calculate and interpret absolute, relative and percentage errors in measurements, recognising that all measurements are estimates</t>
        </is>
      </c>
      <c r="E270" s="9" t="n">
        <v>4</v>
      </c>
      <c r="F270" s="9" t="inlineStr">
        <is>
          <t>estimating the accuracy of measurements in practical contexts and giving suitable lower and upper bounds for measurement values</t>
        </is>
      </c>
    </row>
    <row r="271" ht="34.5" customHeight="1" s="1">
      <c r="A271" s="9" t="inlineStr">
        <is>
          <t>AC9M9M05</t>
        </is>
      </c>
      <c r="B271" s="9" t="n">
        <v>9</v>
      </c>
      <c r="C271" s="9" t="inlineStr">
        <is>
          <t>Measurement</t>
        </is>
      </c>
      <c r="D271" s="9" t="inlineStr">
        <is>
          <t>use mathematical modelling to solve practical problems involving direct proportion, rates, ratio and scale, including financial contexts; formulate the problems and interpret solutions in terms of the situation; evaluate the model and report methods and findings</t>
        </is>
      </c>
      <c r="E271" s="9" t="n">
        <v>1</v>
      </c>
      <c r="F271" s="9" t="inlineStr">
        <is>
          <t>modelling situations involving direct proportion such as pro rata pay rates, exchange rates, multiple quotes for a job, conversion between scales or other appropriate science contexts; for example, Hooke’s law and other science contexts involving wave lengths and frequencies</t>
        </is>
      </c>
    </row>
    <row r="272" ht="34.5" customHeight="1" s="1">
      <c r="A272" s="9" t="inlineStr">
        <is>
          <t>AC9M9M05</t>
        </is>
      </c>
      <c r="B272" s="9" t="n">
        <v>9</v>
      </c>
      <c r="C272" s="9" t="inlineStr">
        <is>
          <t>Measurement</t>
        </is>
      </c>
      <c r="D272" s="9" t="inlineStr">
        <is>
          <t>use mathematical modelling to solve practical problems involving direct proportion, rates, ratio and scale, including financial contexts; formulate the problems and interpret solutions in terms of the situation; evaluate the model and report methods and findings</t>
        </is>
      </c>
      <c r="E272" s="9" t="n">
        <v>2</v>
      </c>
      <c r="F272" s="9" t="inlineStr">
        <is>
          <t>modelling situations that impact on image editing used in social media and how proportion may not be maintained and can result in distorted images</t>
        </is>
      </c>
    </row>
    <row r="273" ht="34.5" customHeight="1" s="1">
      <c r="A273" s="9" t="inlineStr">
        <is>
          <t>AC9M9M05</t>
        </is>
      </c>
      <c r="B273" s="9" t="n">
        <v>9</v>
      </c>
      <c r="C273" s="9" t="inlineStr">
        <is>
          <t>Measurement</t>
        </is>
      </c>
      <c r="D273" s="9" t="inlineStr">
        <is>
          <t>use mathematical modelling to solve practical problems involving direct proportion, rates, ratio and scale, including financial contexts; formulate the problems and interpret solutions in terms of the situation; evaluate the model and report methods and findings</t>
        </is>
      </c>
      <c r="E273" s="9" t="n">
        <v>3</v>
      </c>
      <c r="F273" s="9" t="inlineStr">
        <is>
          <t>modelling situations involving compliance with building and construction standards in design and construction, such as the rise and tread of staircases, and vertical and horizontal components of escalators</t>
        </is>
      </c>
    </row>
    <row r="274" ht="34.5" customHeight="1" s="1">
      <c r="A274" s="9" t="inlineStr">
        <is>
          <t>AC9M9M05</t>
        </is>
      </c>
      <c r="B274" s="9" t="n">
        <v>9</v>
      </c>
      <c r="C274" s="9" t="inlineStr">
        <is>
          <t>Measurement</t>
        </is>
      </c>
      <c r="D274" s="9" t="inlineStr">
        <is>
          <t>use mathematical modelling to solve practical problems involving direct proportion, rates, ratio and scale, including financial contexts; formulate the problems and interpret solutions in terms of the situation; evaluate the model and report methods and findings</t>
        </is>
      </c>
      <c r="E274" s="9" t="n">
        <v>4</v>
      </c>
      <c r="F274" s="9" t="inlineStr">
        <is>
          <t>modelling situations involving the application of rates in practical contexts; for example, density, birth, flow or heartbeats</t>
        </is>
      </c>
    </row>
    <row r="275" ht="34.5" customHeight="1" s="1">
      <c r="A275" s="9" t="inlineStr">
        <is>
          <t>AC9M9M05</t>
        </is>
      </c>
      <c r="B275" s="9" t="n">
        <v>9</v>
      </c>
      <c r="C275" s="9" t="inlineStr">
        <is>
          <t>Measurement</t>
        </is>
      </c>
      <c r="D275" s="9" t="inlineStr">
        <is>
          <t>use mathematical modelling to solve practical problems involving direct proportion, rates, ratio and scale, including financial contexts; formulate the problems and interpret solutions in terms of the situation; evaluate the model and report methods and findings</t>
        </is>
      </c>
      <c r="E275" s="9" t="n">
        <v>5</v>
      </c>
      <c r="F275" s="9" t="inlineStr">
        <is>
          <t>exploring fire techniques in land management practices used by First Nations Australians that use proportion relationships, including the rate of fire spread in different fuel types to wind speed, temperature and relative humidity</t>
        </is>
      </c>
    </row>
    <row r="276" ht="23.25" customHeight="1" s="1">
      <c r="A276" s="9" t="inlineStr">
        <is>
          <t>AC9M9SP01</t>
        </is>
      </c>
      <c r="B276" s="9" t="n">
        <v>9</v>
      </c>
      <c r="C276" s="9" t="inlineStr">
        <is>
          <t>Space</t>
        </is>
      </c>
      <c r="D276" s="9" t="inlineStr">
        <is>
          <t>recognise the constancy of the sine, cosine and tangent ratios for a given angle in right-angled triangles using properties of similarity</t>
        </is>
      </c>
      <c r="E276" s="9" t="n">
        <v>1</v>
      </c>
      <c r="F276" s="9" t="inlineStr">
        <is>
          <t>understanding the terms “base”, “altitude”, “hypotenuse”, and “adjacent” and “opposite” sides to an angle, in a right-angled triangle, and identifying these for a given right-angled triangle</t>
        </is>
      </c>
    </row>
    <row r="277" ht="23.25" customHeight="1" s="1">
      <c r="A277" s="9" t="inlineStr">
        <is>
          <t>AC9M9SP01</t>
        </is>
      </c>
      <c r="B277" s="9" t="n">
        <v>9</v>
      </c>
      <c r="C277" s="9" t="inlineStr">
        <is>
          <t>Space</t>
        </is>
      </c>
      <c r="D277" s="9" t="inlineStr">
        <is>
          <t>recognise the constancy of the sine, cosine and tangent ratios for a given angle in right-angled triangles using properties of similarity</t>
        </is>
      </c>
      <c r="E277" s="9" t="n">
        <v>2</v>
      </c>
      <c r="F277" s="9" t="inlineStr">
        <is>
          <t>investigating patterns to reason about nested similar triangles that are aligned on a coordinate plane, connecting ideas of parallel sides and identifying the constancy of ratios of corresponding sides for a given angle</t>
        </is>
      </c>
    </row>
    <row r="278" ht="34.5" customHeight="1" s="1">
      <c r="A278" s="9" t="inlineStr">
        <is>
          <t>AC9M9SP01</t>
        </is>
      </c>
      <c r="B278" s="9" t="n">
        <v>9</v>
      </c>
      <c r="C278" s="9" t="inlineStr">
        <is>
          <t>Space</t>
        </is>
      </c>
      <c r="D278" s="9" t="inlineStr">
        <is>
          <t>recognise the constancy of the sine, cosine and tangent ratios for a given angle in right-angled triangles using properties of similarity</t>
        </is>
      </c>
      <c r="E278" s="9" t="n">
        <v>3</v>
      </c>
      <c r="F278" s="9" t="inlineStr">
        <is>
          <t>establishing an understanding that the sine of an angle can be considered as the length of the altitude of a right-angled triangle with a hypotenuse of length one unit and similarly the cosine as the length of the base of the same triangle, and relating this to enlargement and similar triangles</t>
        </is>
      </c>
    </row>
    <row r="279" ht="34.5" customHeight="1" s="1">
      <c r="A279" s="9" t="inlineStr">
        <is>
          <t>AC9M9SP01</t>
        </is>
      </c>
      <c r="B279" s="9" t="n">
        <v>9</v>
      </c>
      <c r="C279" s="9" t="inlineStr">
        <is>
          <t>Space</t>
        </is>
      </c>
      <c r="D279" s="9" t="inlineStr">
        <is>
          <t>recognise the constancy of the sine, cosine and tangent ratios for a given angle in right-angled triangles using properties of similarity</t>
        </is>
      </c>
      <c r="E279" s="9" t="n">
        <v>4</v>
      </c>
      <c r="F279" s="9" t="inlineStr">
        <is>
          <t>relating the tangent of an angle to the altitude and base of nested similar right-angled triangles, and connecting the tangent of the angle at which the graph of a straight line meets the positive direction of the horizontal coordinate axis to the gradient of the straight line</t>
        </is>
      </c>
    </row>
    <row r="280" ht="23.25" customHeight="1" s="1">
      <c r="A280" s="9" t="inlineStr">
        <is>
          <t>AC9M9SP02</t>
        </is>
      </c>
      <c r="B280" s="9" t="n">
        <v>9</v>
      </c>
      <c r="C280" s="9" t="inlineStr">
        <is>
          <t>Space</t>
        </is>
      </c>
      <c r="D280" s="9" t="inlineStr">
        <is>
          <t>apply the enlargement transformation to shapes and objects using dynamic geometry software as appropriate; identify and explain aspects that remain the same and those that change</t>
        </is>
      </c>
      <c r="E280" s="9" t="n">
        <v>1</v>
      </c>
      <c r="F280" s="9" t="inlineStr">
        <is>
          <t>comparing the ratio of lengths of corresponding sides of similar triangles and angles</t>
        </is>
      </c>
    </row>
    <row r="281" ht="23.25" customHeight="1" s="1">
      <c r="A281" s="9" t="inlineStr">
        <is>
          <t>AC9M9SP02</t>
        </is>
      </c>
      <c r="B281" s="9" t="n">
        <v>9</v>
      </c>
      <c r="C281" s="9" t="inlineStr">
        <is>
          <t>Space</t>
        </is>
      </c>
      <c r="D281" s="9" t="inlineStr">
        <is>
          <t>apply the enlargement transformation to shapes and objects using dynamic geometry software as appropriate; identify and explain aspects that remain the same and those that change</t>
        </is>
      </c>
      <c r="E281" s="9" t="n">
        <v>2</v>
      </c>
      <c r="F281" s="9" t="inlineStr">
        <is>
          <t>using the properties of similarity to solve problems involving enlargement</t>
        </is>
      </c>
    </row>
    <row r="282" ht="45.75" customHeight="1" s="1">
      <c r="A282" s="9" t="inlineStr">
        <is>
          <t>AC9M9SP02</t>
        </is>
      </c>
      <c r="B282" s="9" t="n">
        <v>9</v>
      </c>
      <c r="C282" s="9" t="inlineStr">
        <is>
          <t>Space</t>
        </is>
      </c>
      <c r="D282" s="9" t="inlineStr">
        <is>
          <t>apply the enlargement transformation to shapes and objects using dynamic geometry software as appropriate; identify and explain aspects that remain the same and those that change</t>
        </is>
      </c>
      <c r="E282" s="9" t="n">
        <v>3</v>
      </c>
      <c r="F282" s="9" t="inlineStr">
        <is>
          <t>investigating and generalising patterns in length, angle, area and volume when side lengths of shapes and objects are enlarged or dilated by whole and rational numbers; for example, comparing an enlargement of a square and a cube of side length 2 units by a factor of 3 increases the area of the square, 2², to (3×2)²=9×2²=9 times the original area and the volume of the cube, 2³, to (3×2)³=27×2³=27 times the volume</t>
        </is>
      </c>
    </row>
    <row r="283" ht="23.25" customHeight="1" s="1">
      <c r="A283" s="9" t="inlineStr">
        <is>
          <t>AC9M9SP03</t>
        </is>
      </c>
      <c r="B283" s="9" t="n">
        <v>9</v>
      </c>
      <c r="C283" s="9" t="inlineStr">
        <is>
          <t>Space</t>
        </is>
      </c>
      <c r="D283" s="9" t="inlineStr">
        <is>
          <t>design, test and refine algorithms involving a sequence of steps and decisions based on geometric constructions and theorems; discuss and evaluate refinements</t>
        </is>
      </c>
      <c r="E283" s="9" t="n">
        <v>1</v>
      </c>
      <c r="F283" s="9" t="inlineStr">
        <is>
          <t>creating an algorithm using pseudocode or flow charts to apply the triangle inequality, or an algorithm to generate Pythagorean triples</t>
        </is>
      </c>
    </row>
    <row r="284" ht="23.25" customHeight="1" s="1">
      <c r="A284" s="9" t="inlineStr">
        <is>
          <t>AC9M9SP03</t>
        </is>
      </c>
      <c r="B284" s="9" t="n">
        <v>9</v>
      </c>
      <c r="C284" s="9" t="inlineStr">
        <is>
          <t>Space</t>
        </is>
      </c>
      <c r="D284" s="9" t="inlineStr">
        <is>
          <t>design, test and refine algorithms involving a sequence of steps and decisions based on geometric constructions and theorems; discuss and evaluate refinements</t>
        </is>
      </c>
      <c r="E284" s="9" t="n">
        <v>2</v>
      </c>
      <c r="F284" s="9" t="inlineStr">
        <is>
          <t>creating and testing algorithms designed to construct or bisect angles, using pseudocode or flow charts</t>
        </is>
      </c>
    </row>
    <row r="285" ht="23.25" customHeight="1" s="1">
      <c r="A285" s="9" t="inlineStr">
        <is>
          <t>AC9M9SP03</t>
        </is>
      </c>
      <c r="B285" s="9" t="n">
        <v>9</v>
      </c>
      <c r="C285" s="9" t="inlineStr">
        <is>
          <t>Space</t>
        </is>
      </c>
      <c r="D285" s="9" t="inlineStr">
        <is>
          <t>design, test and refine algorithms involving a sequence of steps and decisions based on geometric constructions and theorems; discuss and evaluate refinements</t>
        </is>
      </c>
      <c r="E285" s="9" t="n">
        <v>3</v>
      </c>
      <c r="F285" s="9" t="inlineStr">
        <is>
          <t>developing an algorithm for an animation of a geometric construction, or a visual proof, evaluating the algorithm using test cases</t>
        </is>
      </c>
    </row>
    <row r="286" ht="23.25" customHeight="1" s="1">
      <c r="A286" s="9" t="inlineStr">
        <is>
          <t>AC9M9ST01</t>
        </is>
      </c>
      <c r="B286" s="9" t="n">
        <v>9</v>
      </c>
      <c r="C286" s="9" t="inlineStr">
        <is>
          <t>Statistics</t>
        </is>
      </c>
      <c r="D286" s="9" t="inlineStr">
        <is>
          <t>analyse reports of surveys in digital media and elsewhere for information on how data was obtained to estimate population means and medians</t>
        </is>
      </c>
      <c r="E286" s="9" t="n">
        <v>1</v>
      </c>
      <c r="F286" s="9" t="inlineStr">
        <is>
          <t>investigating and evaluating statistical reports in the media and other places by linking claims to displays, statistics and representative data</t>
        </is>
      </c>
    </row>
    <row r="287" ht="23.25" customHeight="1" s="1">
      <c r="A287" s="9" t="inlineStr">
        <is>
          <t>AC9M9ST01</t>
        </is>
      </c>
      <c r="B287" s="9" t="n">
        <v>9</v>
      </c>
      <c r="C287" s="9" t="inlineStr">
        <is>
          <t>Statistics</t>
        </is>
      </c>
      <c r="D287" s="9" t="inlineStr">
        <is>
          <t>analyse reports of surveys in digital media and elsewhere for information on how data was obtained to estimate population means and medians</t>
        </is>
      </c>
      <c r="E287" s="9" t="n">
        <v>2</v>
      </c>
      <c r="F287" s="9" t="inlineStr">
        <is>
          <t>investigating the use of statistics in reports regarding the growth of Australia's trade with other countries of the Asia region</t>
        </is>
      </c>
    </row>
    <row r="288" ht="23.25" customHeight="1" s="1">
      <c r="A288" s="9" t="inlineStr">
        <is>
          <t>AC9M9ST01</t>
        </is>
      </c>
      <c r="B288" s="9" t="n">
        <v>9</v>
      </c>
      <c r="C288" s="9" t="inlineStr">
        <is>
          <t>Statistics</t>
        </is>
      </c>
      <c r="D288" s="9" t="inlineStr">
        <is>
          <t>analyse reports of surveys in digital media and elsewhere for information on how data was obtained to estimate population means and medians</t>
        </is>
      </c>
      <c r="E288" s="9" t="n">
        <v>3</v>
      </c>
      <c r="F288" s="9" t="inlineStr">
        <is>
          <t>investigating a range of data and its sources; for example, the age of residents in Australia, Cambodia and Tonga; the number of subjects studied at school in a year by 14-year-old students in Australia, Singapore, Japan, South Korea and Timor-Leste</t>
        </is>
      </c>
    </row>
    <row r="289" ht="23.25" customHeight="1" s="1">
      <c r="A289" s="9" t="inlineStr">
        <is>
          <t>AC9M9ST01</t>
        </is>
      </c>
      <c r="B289" s="9" t="n">
        <v>9</v>
      </c>
      <c r="C289" s="9" t="inlineStr">
        <is>
          <t>Statistics</t>
        </is>
      </c>
      <c r="D289" s="9" t="inlineStr">
        <is>
          <t>analyse reports of surveys in digital media and elsewhere for information on how data was obtained to estimate population means and medians</t>
        </is>
      </c>
      <c r="E289" s="9" t="n">
        <v>4</v>
      </c>
      <c r="F289" s="9" t="inlineStr">
        <is>
          <t>analysing reports of public opinion surveys on environmental issues, such as land clearing, wind farms or single use plastics; discussing methods of data collection and the reasonableness of any inferences made</t>
        </is>
      </c>
    </row>
    <row r="290" ht="23.25" customHeight="1" s="1">
      <c r="A290" s="9" t="inlineStr">
        <is>
          <t>AC9M9ST02</t>
        </is>
      </c>
      <c r="B290" s="9" t="n">
        <v>9</v>
      </c>
      <c r="C290" s="9" t="inlineStr">
        <is>
          <t>Statistics</t>
        </is>
      </c>
      <c r="D290" s="9" t="inlineStr">
        <is>
          <t>analyse how different sampling methods can affect the results of surveys and how choice of representation can be used to support a particular point of view</t>
        </is>
      </c>
      <c r="E290" s="9" t="n">
        <v>1</v>
      </c>
      <c r="F290" s="9" t="inlineStr">
        <is>
          <t>investigating and analysing different visualisations of data such as infographics found in the media and commenting on the strengths, weaknesses and possible biases of particular examples</t>
        </is>
      </c>
    </row>
    <row r="291" ht="23.25" customHeight="1" s="1">
      <c r="A291" s="9" t="inlineStr">
        <is>
          <t>AC9M9ST02</t>
        </is>
      </c>
      <c r="B291" s="9" t="n">
        <v>9</v>
      </c>
      <c r="C291" s="9" t="inlineStr">
        <is>
          <t>Statistics</t>
        </is>
      </c>
      <c r="D291" s="9" t="inlineStr">
        <is>
          <t>analyse how different sampling methods can affect the results of surveys and how choice of representation can be used to support a particular point of view</t>
        </is>
      </c>
      <c r="E291" s="9" t="n">
        <v>2</v>
      </c>
      <c r="F291" s="9" t="inlineStr">
        <is>
          <t>discussing the impact of decreased landline usage or an increased aversion to answering calls from unknown numbers on survey data</t>
        </is>
      </c>
    </row>
    <row r="292" ht="23.25" customHeight="1" s="1">
      <c r="A292" s="9" t="inlineStr">
        <is>
          <t>AC9M9ST02</t>
        </is>
      </c>
      <c r="B292" s="9" t="n">
        <v>9</v>
      </c>
      <c r="C292" s="9" t="inlineStr">
        <is>
          <t>Statistics</t>
        </is>
      </c>
      <c r="D292" s="9" t="inlineStr">
        <is>
          <t>analyse how different sampling methods can affect the results of surveys and how choice of representation can be used to support a particular point of view</t>
        </is>
      </c>
      <c r="E292" s="9" t="n">
        <v>3</v>
      </c>
      <c r="F292" s="9" t="inlineStr">
        <is>
          <t>exploring potential cultural bias relating to First Nations Australians by critically analysing sampling techniques in statistical reports</t>
        </is>
      </c>
    </row>
    <row r="293" ht="34.5" customHeight="1" s="1">
      <c r="A293" s="9" t="inlineStr">
        <is>
          <t>AC9M9ST03</t>
        </is>
      </c>
      <c r="B293" s="9" t="n">
        <v>9</v>
      </c>
      <c r="C293" s="9" t="inlineStr">
        <is>
          <t>Statistics</t>
        </is>
      </c>
      <c r="D293" s="9" t="inlineStr">
        <is>
          <t>represent the distribution of multiple data sets for numerical variables using comparative representations; compare data distributions with consideration of centre, spread and shape, and the effect of outliers on these measures</t>
        </is>
      </c>
      <c r="E293" s="9" t="n">
        <v>1</v>
      </c>
      <c r="F293" s="9" t="inlineStr">
        <is>
          <t>describing the shape of the distribution of data using terms such as “positive skew”, “negative skew” and “symmetric” and “bi-modal”</t>
        </is>
      </c>
    </row>
    <row r="294" ht="34.5" customHeight="1" s="1">
      <c r="A294" s="9" t="inlineStr">
        <is>
          <t>AC9M9ST03</t>
        </is>
      </c>
      <c r="B294" s="9" t="n">
        <v>9</v>
      </c>
      <c r="C294" s="9" t="inlineStr">
        <is>
          <t>Statistics</t>
        </is>
      </c>
      <c r="D294" s="9" t="inlineStr">
        <is>
          <t>represent the distribution of multiple data sets for numerical variables using comparative representations; compare data distributions with consideration of centre, spread and shape, and the effect of outliers on these measures</t>
        </is>
      </c>
      <c r="E294" s="9" t="n">
        <v>2</v>
      </c>
      <c r="F294" s="9" t="inlineStr">
        <is>
          <t>using stem-and-leaf plots to compare 2 like sets of data such as the heights of girls and the heights of boys in a class</t>
        </is>
      </c>
    </row>
    <row r="295" ht="34.5" customHeight="1" s="1">
      <c r="A295" s="9" t="inlineStr">
        <is>
          <t>AC9M9ST03</t>
        </is>
      </c>
      <c r="B295" s="9" t="n">
        <v>9</v>
      </c>
      <c r="C295" s="9" t="inlineStr">
        <is>
          <t>Statistics</t>
        </is>
      </c>
      <c r="D295" s="9" t="inlineStr">
        <is>
          <t>represent the distribution of multiple data sets for numerical variables using comparative representations; compare data distributions with consideration of centre, spread and shape, and the effect of outliers on these measures</t>
        </is>
      </c>
      <c r="E295" s="9" t="n">
        <v>3</v>
      </c>
      <c r="F295" s="9" t="inlineStr">
        <is>
          <t>constructing grouped histograms that show trends in health issues such as lung cancer, leukemia, stroke and diabetes, and using the graph to justify, verify or invalidate claims</t>
        </is>
      </c>
    </row>
    <row r="296" ht="34.5" customHeight="1" s="1">
      <c r="A296" s="9" t="inlineStr">
        <is>
          <t>AC9M9ST03</t>
        </is>
      </c>
      <c r="B296" s="9" t="n">
        <v>9</v>
      </c>
      <c r="C296" s="9" t="inlineStr">
        <is>
          <t>Statistics</t>
        </is>
      </c>
      <c r="D296" s="9" t="inlineStr">
        <is>
          <t>represent the distribution of multiple data sets for numerical variables using comparative representations; compare data distributions with consideration of centre, spread and shape, and the effect of outliers on these measures</t>
        </is>
      </c>
      <c r="E296" s="9" t="n">
        <v>4</v>
      </c>
      <c r="F296" s="9" t="inlineStr">
        <is>
          <t>exploring comparative data presented in reports by National Indigenous Australians Agency in regard to “Closing the Gap”, discussing the comparative distributions within the context of the data; for example, comparative data presented in the “Closing the Gap – Prime Minister’s Report”</t>
        </is>
      </c>
    </row>
    <row r="297" ht="23.25" customHeight="1" s="1">
      <c r="A297" s="9" t="inlineStr">
        <is>
          <t>AC9M9ST04</t>
        </is>
      </c>
      <c r="B297" s="9" t="n">
        <v>9</v>
      </c>
      <c r="C297" s="9" t="inlineStr">
        <is>
          <t>Statistics</t>
        </is>
      </c>
      <c r="D297" s="9" t="inlineStr">
        <is>
          <t>choose appropriate forms of display or visualisation for a given type of data; justify selections and interpret displays for a given context</t>
        </is>
      </c>
      <c r="E297" s="9" t="n">
        <v>1</v>
      </c>
      <c r="F297" s="9" t="inlineStr">
        <is>
          <t>comparing data displays using mean, median and range to describe and interpret numerical data sets in terms of centre and spread using histograms, dot plots, or stem-and-leaf plots</t>
        </is>
      </c>
    </row>
    <row r="298" ht="23.25" customHeight="1" s="1">
      <c r="A298" s="9" t="inlineStr">
        <is>
          <t>AC9M9ST04</t>
        </is>
      </c>
      <c r="B298" s="9" t="n">
        <v>9</v>
      </c>
      <c r="C298" s="9" t="inlineStr">
        <is>
          <t>Statistics</t>
        </is>
      </c>
      <c r="D298" s="9" t="inlineStr">
        <is>
          <t>choose appropriate forms of display or visualisation for a given type of data; justify selections and interpret displays for a given context</t>
        </is>
      </c>
      <c r="E298" s="9" t="n">
        <v>2</v>
      </c>
      <c r="F298" s="9" t="inlineStr">
        <is>
          <t>choosing the type of representations based on the data type: categorical (nominal or ordinal) or numerical (discrete or continuous)</t>
        </is>
      </c>
    </row>
    <row r="299" ht="23.25" customHeight="1" s="1">
      <c r="A299" s="9" t="inlineStr">
        <is>
          <t>AC9M9ST04</t>
        </is>
      </c>
      <c r="B299" s="9" t="n">
        <v>9</v>
      </c>
      <c r="C299" s="9" t="inlineStr">
        <is>
          <t>Statistics</t>
        </is>
      </c>
      <c r="D299" s="9" t="inlineStr">
        <is>
          <t>choose appropriate forms of display or visualisation for a given type of data; justify selections and interpret displays for a given context</t>
        </is>
      </c>
      <c r="E299" s="9" t="n">
        <v>3</v>
      </c>
      <c r="F299" s="9" t="inlineStr">
        <is>
          <t>using different visualisations of data, including non-standard representations such as infographics, and discussing their purpose, intended audience; evaluating how well they communicate responses to statistical questions of interest</t>
        </is>
      </c>
    </row>
    <row r="300" ht="23.25" customHeight="1" s="1">
      <c r="A300" s="9" t="inlineStr">
        <is>
          <t>AC9M9ST04</t>
        </is>
      </c>
      <c r="B300" s="9" t="n">
        <v>9</v>
      </c>
      <c r="C300" s="9" t="inlineStr">
        <is>
          <t>Statistics</t>
        </is>
      </c>
      <c r="D300" s="9" t="inlineStr">
        <is>
          <t>choose appropriate forms of display or visualisation for a given type of data; justify selections and interpret displays for a given context</t>
        </is>
      </c>
      <c r="E300" s="9" t="n">
        <v>4</v>
      </c>
      <c r="F300" s="9" t="inlineStr">
        <is>
          <t>comparing and interpreting stacked bar charts, area charts and line graphs, discussing how they represent larger categories that can be subdivided into smaller categories and how information that can be obtained from these displays can be used for comparison</t>
        </is>
      </c>
    </row>
    <row r="301" ht="23.25" customHeight="1" s="1">
      <c r="A301" s="9" t="inlineStr">
        <is>
          <t>AC9M9ST05</t>
        </is>
      </c>
      <c r="B301" s="9" t="n">
        <v>9</v>
      </c>
      <c r="C301" s="9" t="inlineStr">
        <is>
          <t>Statistics</t>
        </is>
      </c>
      <c r="D301" s="9" t="inlineStr">
        <is>
          <t>plan and conduct statistical investigations involving the collection and analysis of different kinds of data; report findings and discuss the strength of evidence to support any conclusions</t>
        </is>
      </c>
      <c r="E301" s="9" t="n">
        <v>1</v>
      </c>
      <c r="F301" s="9" t="inlineStr">
        <is>
          <t>planning and conducting an investigation using questions together with analysis of secondary data set collected from online data bases such as the Australian Bureau of Statistics</t>
        </is>
      </c>
    </row>
    <row r="302" ht="23.25" customHeight="1" s="1">
      <c r="A302" s="9" t="inlineStr">
        <is>
          <t>AC9M9ST05</t>
        </is>
      </c>
      <c r="B302" s="9" t="n">
        <v>9</v>
      </c>
      <c r="C302" s="9" t="inlineStr">
        <is>
          <t>Statistics</t>
        </is>
      </c>
      <c r="D302" s="9" t="inlineStr">
        <is>
          <t>plan and conduct statistical investigations involving the collection and analysis of different kinds of data; report findings and discuss the strength of evidence to support any conclusions</t>
        </is>
      </c>
      <c r="E302" s="9" t="n">
        <v>2</v>
      </c>
      <c r="F302" s="9" t="inlineStr">
        <is>
          <t>planning and conducting an investigation relating to consumer spending habits; modelling market research on what teenagers are prepared to spend on technology compared to clothing, with consideration of sample techniques and potential sources of bias</t>
        </is>
      </c>
    </row>
    <row r="303" ht="34.5" customHeight="1" s="1">
      <c r="A303" s="9" t="inlineStr">
        <is>
          <t>AC9M9ST05</t>
        </is>
      </c>
      <c r="B303" s="9" t="n">
        <v>9</v>
      </c>
      <c r="C303" s="9" t="inlineStr">
        <is>
          <t>Statistics</t>
        </is>
      </c>
      <c r="D303" s="9" t="inlineStr">
        <is>
          <t>plan and conduct statistical investigations involving the collection and analysis of different kinds of data; report findings and discuss the strength of evidence to support any conclusions</t>
        </is>
      </c>
      <c r="E303" s="9" t="n">
        <v>3</v>
      </c>
      <c r="F303" s="9" t="inlineStr">
        <is>
          <t>investigating where would be the best location for a tropical fruit plantation by conducting a statistical investigation comparing different variables such as the annual rainfall in various parts of Australia, Indonesia, New Guinea and Malaysia, land prices and associated farming costs</t>
        </is>
      </c>
    </row>
    <row r="304" ht="23.25" customHeight="1" s="1">
      <c r="A304" s="9" t="inlineStr">
        <is>
          <t>AC9M9ST05</t>
        </is>
      </c>
      <c r="B304" s="9" t="n">
        <v>9</v>
      </c>
      <c r="C304" s="9" t="inlineStr">
        <is>
          <t>Statistics</t>
        </is>
      </c>
      <c r="D304" s="9" t="inlineStr">
        <is>
          <t>plan and conduct statistical investigations involving the collection and analysis of different kinds of data; report findings and discuss the strength of evidence to support any conclusions</t>
        </is>
      </c>
      <c r="E304" s="9" t="n">
        <v>4</v>
      </c>
      <c r="F304" s="9" t="inlineStr">
        <is>
          <t>posing statistical questions, collecting, representing and interpreting data from different sources in relation to reconciliation, considering the relationships between variables</t>
        </is>
      </c>
    </row>
    <row r="305" ht="23.25" customHeight="1" s="1">
      <c r="A305" s="9" t="inlineStr">
        <is>
          <t>AC9M9P01</t>
        </is>
      </c>
      <c r="B305" s="9" t="n">
        <v>9</v>
      </c>
      <c r="C305" s="9" t="inlineStr">
        <is>
          <t>Probability</t>
        </is>
      </c>
      <c r="D305" s="9" t="inlineStr">
        <is>
          <t>list all outcomes for compound events both with and without replacement, using lists, tree diagrams, tables or arrays; assign probabilities to outcomes</t>
        </is>
      </c>
      <c r="E305" s="9" t="n">
        <v>1</v>
      </c>
      <c r="F305" s="9" t="inlineStr">
        <is>
          <t>discussing two-step chance experiments, such as the game of Heads and tails, describing the different outcomes and their related probabilities</t>
        </is>
      </c>
    </row>
    <row r="306" ht="23.25" customHeight="1" s="1">
      <c r="A306" s="9" t="inlineStr">
        <is>
          <t>AC9M9P01</t>
        </is>
      </c>
      <c r="B306" s="9" t="n">
        <v>9</v>
      </c>
      <c r="C306" s="9" t="inlineStr">
        <is>
          <t>Probability</t>
        </is>
      </c>
      <c r="D306" s="9" t="inlineStr">
        <is>
          <t>list all outcomes for compound events both with and without replacement, using lists, tree diagrams, tables or arrays; assign probabilities to outcomes</t>
        </is>
      </c>
      <c r="E306" s="9" t="n">
        <v>2</v>
      </c>
      <c r="F306" s="9" t="inlineStr">
        <is>
          <t>using systematic methods such as lists or arrays to record outcomes and assign probabilities, such as drawing the names of students from a bag to appoint 2 team leaders</t>
        </is>
      </c>
    </row>
    <row r="307" ht="34.5" customHeight="1" s="1">
      <c r="A307" s="9" t="inlineStr">
        <is>
          <t>AC9M9P01</t>
        </is>
      </c>
      <c r="B307" s="9" t="n">
        <v>9</v>
      </c>
      <c r="C307" s="9" t="inlineStr">
        <is>
          <t>Probability</t>
        </is>
      </c>
      <c r="D307" s="9" t="inlineStr">
        <is>
          <t>list all outcomes for compound events both with and without replacement, using lists, tree diagrams, tables or arrays; assign probabilities to outcomes</t>
        </is>
      </c>
      <c r="E307" s="9" t="n">
        <v>3</v>
      </c>
      <c r="F307" s="9" t="inlineStr">
        <is>
          <t>using a tree diagram to represent a three-stage event and assigning probabilities to these events; for example, selecting 3 cards from a deck, assigning the probability of drawing an ace, then a king, then a queen of the same suit, with and without replacing the cards after every draw</t>
        </is>
      </c>
    </row>
    <row r="308" ht="23.25" customHeight="1" s="1">
      <c r="A308" s="9" t="inlineStr">
        <is>
          <t>AC9M9P01</t>
        </is>
      </c>
      <c r="B308" s="9" t="n">
        <v>9</v>
      </c>
      <c r="C308" s="9" t="inlineStr">
        <is>
          <t>Probability</t>
        </is>
      </c>
      <c r="D308" s="9" t="inlineStr">
        <is>
          <t>list all outcomes for compound events both with and without replacement, using lists, tree diagrams, tables or arrays; assign probabilities to outcomes</t>
        </is>
      </c>
      <c r="E308" s="9" t="n">
        <v>4</v>
      </c>
      <c r="F308" s="9" t="inlineStr">
        <is>
          <t>assigning probabilities to compound events involving the random selection of people from a given population; for example, selecting 2 names at random from all of the students at a high school and assigning the probability that they are both in Year 9</t>
        </is>
      </c>
    </row>
    <row r="309" ht="23.25" customHeight="1" s="1">
      <c r="A309" s="9" t="inlineStr">
        <is>
          <t>AC9M9P02</t>
        </is>
      </c>
      <c r="B309" s="9" t="n">
        <v>9</v>
      </c>
      <c r="C309" s="9" t="inlineStr">
        <is>
          <t>Probability</t>
        </is>
      </c>
      <c r="D309" s="9" t="inlineStr">
        <is>
          <t>calculate relative frequencies from given or collected data to estimate probabilities of events involving “and”, inclusive “or” and exclusive “or”</t>
        </is>
      </c>
      <c r="E309" s="9" t="n">
        <v>1</v>
      </c>
      <c r="F309" s="9" t="inlineStr">
        <is>
          <t>understanding that relative frequencies from large data sets or long-run experiments can provide reliable measures of probability and can be used to make predictions of decisions</t>
        </is>
      </c>
    </row>
    <row r="310" ht="23.25" customHeight="1" s="1">
      <c r="A310" s="9" t="inlineStr">
        <is>
          <t>AC9M9P02</t>
        </is>
      </c>
      <c r="B310" s="9" t="n">
        <v>9</v>
      </c>
      <c r="C310" s="9" t="inlineStr">
        <is>
          <t>Probability</t>
        </is>
      </c>
      <c r="D310" s="9" t="inlineStr">
        <is>
          <t>calculate relative frequencies from given or collected data to estimate probabilities of events involving “and”, inclusive “or” and exclusive “or”</t>
        </is>
      </c>
      <c r="E310" s="9" t="n">
        <v>2</v>
      </c>
      <c r="F310" s="9" t="inlineStr">
        <is>
          <t>using Venn diagrams or two-way tables to estimate frequencies of events involving “and”, “or” questions</t>
        </is>
      </c>
    </row>
    <row r="311" ht="23.25" customHeight="1" s="1">
      <c r="A311" s="9" t="inlineStr">
        <is>
          <t>AC9M9P03</t>
        </is>
      </c>
      <c r="B311" s="9" t="n">
        <v>9</v>
      </c>
      <c r="C311" s="9" t="inlineStr">
        <is>
          <t>Probability</t>
        </is>
      </c>
      <c r="D311" s="9" t="inlineStr">
        <is>
          <t>design and conduct repeated chance experiments and simulations, using digital tools to compare probabilities of simple events to related compound events, and describe results</t>
        </is>
      </c>
      <c r="E311" s="9" t="n">
        <v>1</v>
      </c>
      <c r="F311" s="9" t="inlineStr">
        <is>
          <t>using digital tools to conduct probability simulations that demonstrate the relationship between the probability of compound events and the individual probabilities</t>
        </is>
      </c>
    </row>
    <row r="312" ht="23.25" customHeight="1" s="1">
      <c r="A312" s="9" t="inlineStr">
        <is>
          <t>AC9M9P03</t>
        </is>
      </c>
      <c r="B312" s="9" t="n">
        <v>9</v>
      </c>
      <c r="C312" s="9" t="inlineStr">
        <is>
          <t>Probability</t>
        </is>
      </c>
      <c r="D312" s="9" t="inlineStr">
        <is>
          <t>design and conduct repeated chance experiments and simulations, using digital tools to compare probabilities of simple events to related compound events, and describe results</t>
        </is>
      </c>
      <c r="E312" s="9" t="n">
        <v>2</v>
      </c>
      <c r="F312" s="9" t="inlineStr">
        <is>
          <t>comparing experiments which differ only by being undertaken with replacement or without replacement</t>
        </is>
      </c>
    </row>
    <row r="313" ht="23.25" customHeight="1" s="1">
      <c r="A313" s="9" t="inlineStr">
        <is>
          <t>AC9M9P03</t>
        </is>
      </c>
      <c r="B313" s="9" t="n">
        <v>9</v>
      </c>
      <c r="C313" s="9" t="inlineStr">
        <is>
          <t>Probability</t>
        </is>
      </c>
      <c r="D313" s="9" t="inlineStr">
        <is>
          <t>design and conduct repeated chance experiments and simulations, using digital tools to compare probabilities of simple events to related compound events, and describe results</t>
        </is>
      </c>
      <c r="E313" s="9" t="n">
        <v>3</v>
      </c>
      <c r="F313" s="9" t="inlineStr">
        <is>
          <t>conducting two-step chance experiments using systematic methods to list outcomes of experiments and to list outcomes favourable to an event</t>
        </is>
      </c>
    </row>
    <row r="314" ht="23.25" customHeight="1" s="1">
      <c r="A314" s="9" t="inlineStr">
        <is>
          <t>AC9M9P03</t>
        </is>
      </c>
      <c r="B314" s="9" t="n">
        <v>9</v>
      </c>
      <c r="C314" s="9" t="inlineStr">
        <is>
          <t>Probability</t>
        </is>
      </c>
      <c r="D314" s="9" t="inlineStr">
        <is>
          <t>design and conduct repeated chance experiments and simulations, using digital tools to compare probabilities of simple events to related compound events, and describe results</t>
        </is>
      </c>
      <c r="E314" s="9" t="n">
        <v>4</v>
      </c>
      <c r="F314" s="9" t="inlineStr">
        <is>
          <t>using repeated trials of First Nations Australian children’s instructive games; for example, Gorri from all parts of Australia, to calculate the probabilities of winning and not winning</t>
        </is>
      </c>
    </row>
    <row r="315" ht="23.25" customHeight="1" s="1">
      <c r="A315" s="9" t="inlineStr">
        <is>
          <t>AC9M10N01</t>
        </is>
      </c>
      <c r="B315" s="9" t="n">
        <v>10</v>
      </c>
      <c r="C315" s="9" t="inlineStr">
        <is>
          <t>Number</t>
        </is>
      </c>
      <c r="D315" s="9" t="inlineStr">
        <is>
          <t>recognise the effect of using approximations of real numbers in repeated calculations and compare the results when using exact representations</t>
        </is>
      </c>
      <c r="E315" s="9" t="n">
        <v>1</v>
      </c>
      <c r="F315" s="9" t="inlineStr">
        <is>
          <t>comparing and contrasting the effect of truncation or rounding on the final result of calculations when using approximations of real numbers rather than exact representations</t>
        </is>
      </c>
    </row>
    <row r="316" ht="34.5" customHeight="1" s="1">
      <c r="A316" s="9" t="inlineStr">
        <is>
          <t>AC9M10N01</t>
        </is>
      </c>
      <c r="B316" s="9" t="n">
        <v>10</v>
      </c>
      <c r="C316" s="9" t="inlineStr">
        <is>
          <t>Number</t>
        </is>
      </c>
      <c r="D316" s="9" t="inlineStr">
        <is>
          <t>recognise the effect of using approximations of real numbers in repeated calculations and compare the results when using exact representations</t>
        </is>
      </c>
      <c r="E316" s="9" t="n">
        <v>2</v>
      </c>
      <c r="F316" s="9" t="inlineStr">
        <is>
          <t>investigating the impact of approximation on multiple calculations in contexts that involve the area of compound shapes involving circles, the surface area and volume of compound objects, and repeated calculations of simple interest where the solutions are not exact cents</t>
        </is>
      </c>
    </row>
    <row r="317" ht="23.25" customHeight="1" s="1">
      <c r="A317" s="9" t="inlineStr">
        <is>
          <t>AC9M10A01</t>
        </is>
      </c>
      <c r="B317" s="9" t="n">
        <v>10</v>
      </c>
      <c r="C317" s="9" t="inlineStr">
        <is>
          <t>Algebra</t>
        </is>
      </c>
      <c r="D317" s="9" t="inlineStr">
        <is>
          <t>expand, factorise and simplify expressions and solve equations algebraically, applying exponent laws involving products, quotients and powers of variables, and the distributive property</t>
        </is>
      </c>
      <c r="E317" s="9" t="n">
        <v>1</v>
      </c>
      <c r="F317" s="9" t="inlineStr">
        <is>
          <t>explaining the relationship between factorisation and expansion, including the completed square form for quadratic expressions</t>
        </is>
      </c>
    </row>
    <row r="318" ht="23.25" customHeight="1" s="1">
      <c r="A318" s="9" t="inlineStr">
        <is>
          <t>AC9M10A01</t>
        </is>
      </c>
      <c r="B318" s="9" t="n">
        <v>10</v>
      </c>
      <c r="C318" s="9" t="inlineStr">
        <is>
          <t>Algebra</t>
        </is>
      </c>
      <c r="D318" s="9" t="inlineStr">
        <is>
          <t>expand, factorise and simplify expressions and solve equations algebraically, applying exponent laws involving products, quotients and powers of variables, and the distributive property</t>
        </is>
      </c>
      <c r="E318" s="9" t="n">
        <v>2</v>
      </c>
      <c r="F318" s="9" t="inlineStr">
        <is>
          <t>applying knowledge of exponent laws to algebraic terms and using both positive and negative integral exponents to simplifying algebraic expressions and solve equations algebraically</t>
        </is>
      </c>
    </row>
    <row r="319" ht="23.25" customHeight="1" s="1">
      <c r="A319" s="9" t="inlineStr">
        <is>
          <t>AC9M10A02</t>
        </is>
      </c>
      <c r="B319" s="9" t="n">
        <v>10</v>
      </c>
      <c r="C319" s="9" t="inlineStr">
        <is>
          <t>Algebra</t>
        </is>
      </c>
      <c r="D319" s="9" t="inlineStr">
        <is>
          <t>solve linear inequalities and simultaneous linear equations in 2 variables; interpret solutions graphically and communicate solutions in terms of the situation</t>
        </is>
      </c>
      <c r="E319" s="9" t="n">
        <v>1</v>
      </c>
      <c r="F319" s="9" t="inlineStr">
        <is>
          <t>investigating situations involving linear equations in context, such as multiple quotes for a job, or profit and loss; solving the equations graphically, giving solutions in everyday language, such as “break-even point” or “point to change providers” for the job</t>
        </is>
      </c>
    </row>
    <row r="320" ht="23.25" customHeight="1" s="1">
      <c r="A320" s="9" t="inlineStr">
        <is>
          <t>AC9M10A02</t>
        </is>
      </c>
      <c r="B320" s="9" t="n">
        <v>10</v>
      </c>
      <c r="C320" s="9" t="inlineStr">
        <is>
          <t>Algebra</t>
        </is>
      </c>
      <c r="D320" s="9" t="inlineStr">
        <is>
          <t>solve linear inequalities and simultaneous linear equations in 2 variables; interpret solutions graphically and communicate solutions in terms of the situation</t>
        </is>
      </c>
      <c r="E320" s="9" t="n">
        <v>2</v>
      </c>
      <c r="F320" s="9" t="inlineStr">
        <is>
          <t>describing the solution of simultaneous equations within the context of the situation</t>
        </is>
      </c>
    </row>
    <row r="321" ht="23.25" customHeight="1" s="1">
      <c r="A321" s="9" t="inlineStr">
        <is>
          <t>AC9M10A02</t>
        </is>
      </c>
      <c r="B321" s="9" t="n">
        <v>10</v>
      </c>
      <c r="C321" s="9" t="inlineStr">
        <is>
          <t>Algebra</t>
        </is>
      </c>
      <c r="D321" s="9" t="inlineStr">
        <is>
          <t>solve linear inequalities and simultaneous linear equations in 2 variables; interpret solutions graphically and communicate solutions in terms of the situation</t>
        </is>
      </c>
      <c r="E321" s="9" t="n">
        <v>3</v>
      </c>
      <c r="F321" s="9" t="inlineStr">
        <is>
          <t>graphing regions corresponding to inequalities in the Cartesian plane; for example, graphing 2x+3y&lt;24 and verifying using a test point such as (0, 0)</t>
        </is>
      </c>
    </row>
    <row r="322" ht="23.25" customHeight="1" s="1">
      <c r="A322" s="9" t="inlineStr">
        <is>
          <t>AC9M10A02</t>
        </is>
      </c>
      <c r="B322" s="9" t="n">
        <v>10</v>
      </c>
      <c r="C322" s="9" t="inlineStr">
        <is>
          <t>Algebra</t>
        </is>
      </c>
      <c r="D322" s="9" t="inlineStr">
        <is>
          <t>solve linear inequalities and simultaneous linear equations in 2 variables; interpret solutions graphically and communicate solutions in terms of the situation</t>
        </is>
      </c>
      <c r="E322" s="9" t="n">
        <v>4</v>
      </c>
      <c r="F322" s="9" t="inlineStr">
        <is>
          <t>identifying all the combinations of trips to the movies, each costing $12, and ice-skating sessions, each costing $21, as the integer solutions for an entertainment budget of up to $150 for the school holidays; expressing algebraically as 12m+21s≤150</t>
        </is>
      </c>
    </row>
    <row r="323" ht="23.25" customHeight="1" s="1">
      <c r="A323" s="9" t="inlineStr">
        <is>
          <t>AC9M10A02</t>
        </is>
      </c>
      <c r="B323" s="9" t="n">
        <v>10</v>
      </c>
      <c r="C323" s="9" t="inlineStr">
        <is>
          <t>Algebra</t>
        </is>
      </c>
      <c r="D323" s="9" t="inlineStr">
        <is>
          <t>solve linear inequalities and simultaneous linear equations in 2 variables; interpret solutions graphically and communicate solutions in terms of the situation</t>
        </is>
      </c>
      <c r="E323" s="9" t="n">
        <v>5</v>
      </c>
      <c r="F323" s="9" t="inlineStr">
        <is>
          <t>testing when a circle of a specified radius has a corresponding area greater than a given value, or whether a point satisfies an inequality; for example, whether the point (3, 5) satisfies 2y&lt;x²</t>
        </is>
      </c>
    </row>
    <row r="324" ht="23.25" customHeight="1" s="1">
      <c r="A324" s="9" t="inlineStr">
        <is>
          <t>AC9M10A02</t>
        </is>
      </c>
      <c r="B324" s="9" t="n">
        <v>10</v>
      </c>
      <c r="C324" s="9" t="inlineStr">
        <is>
          <t>Algebra</t>
        </is>
      </c>
      <c r="D324" s="9" t="inlineStr">
        <is>
          <t>solve linear inequalities and simultaneous linear equations in 2 variables; interpret solutions graphically and communicate solutions in terms of the situation</t>
        </is>
      </c>
      <c r="E324" s="9" t="n">
        <v>6</v>
      </c>
      <c r="F324" s="9" t="inlineStr">
        <is>
          <t>investigating the strategies inherent in First Nations Australian children’s instructive games; for example, Weme from the Warlpiri Peoples of central Australia, and their connection to strategies to solve simultaneous linear equations in 2 variables</t>
        </is>
      </c>
    </row>
    <row r="325" ht="23.25" customHeight="1" s="1">
      <c r="A325" s="9" t="inlineStr">
        <is>
          <t>AC9M10A03</t>
        </is>
      </c>
      <c r="B325" s="9" t="n">
        <v>10</v>
      </c>
      <c r="C325" s="9" t="inlineStr">
        <is>
          <t>Algebra</t>
        </is>
      </c>
      <c r="D325" s="9" t="inlineStr">
        <is>
          <t>recognise the connection between algebraic and graphical representations of exponential relations and solve related exponential equations, using digital tools where appropriate</t>
        </is>
      </c>
      <c r="E325" s="9" t="n">
        <v>1</v>
      </c>
      <c r="F325" s="9" t="inlineStr">
        <is>
          <t>recognising that in a table of values, if the ratio between consecutive values of the dependent variable is constant, then it is an exponential relation</t>
        </is>
      </c>
    </row>
    <row r="326" ht="23.25" customHeight="1" s="1">
      <c r="A326" s="9" t="inlineStr">
        <is>
          <t>AC9M10A03</t>
        </is>
      </c>
      <c r="B326" s="9" t="n">
        <v>10</v>
      </c>
      <c r="C326" s="9" t="inlineStr">
        <is>
          <t>Algebra</t>
        </is>
      </c>
      <c r="D326" s="9" t="inlineStr">
        <is>
          <t>recognise the connection between algebraic and graphical representations of exponential relations and solve related exponential equations, using digital tools where appropriate</t>
        </is>
      </c>
      <c r="E326" s="9" t="n">
        <v>2</v>
      </c>
      <c r="F326" s="9" t="inlineStr">
        <is>
          <t>investigating the links between algebraic and graphical representations of exponential functions using graphing software</t>
        </is>
      </c>
    </row>
    <row r="327" ht="23.25" customHeight="1" s="1">
      <c r="A327" s="9" t="inlineStr">
        <is>
          <t>AC9M10A03</t>
        </is>
      </c>
      <c r="B327" s="9" t="n">
        <v>10</v>
      </c>
      <c r="C327" s="9" t="inlineStr">
        <is>
          <t>Algebra</t>
        </is>
      </c>
      <c r="D327" s="9" t="inlineStr">
        <is>
          <t>recognise the connection between algebraic and graphical representations of exponential relations and solve related exponential equations, using digital tools where appropriate</t>
        </is>
      </c>
      <c r="E327" s="9" t="n">
        <v>3</v>
      </c>
      <c r="F327" s="9" t="inlineStr">
        <is>
          <t>using digital tools with symbolic manipulation functionality to systematically explore exponential relations</t>
        </is>
      </c>
    </row>
    <row r="328" ht="34.5" customHeight="1" s="1">
      <c r="A328" s="9" t="inlineStr">
        <is>
          <t>AC9M10A03</t>
        </is>
      </c>
      <c r="B328" s="9" t="n">
        <v>10</v>
      </c>
      <c r="C328" s="9" t="inlineStr">
        <is>
          <t>Algebra</t>
        </is>
      </c>
      <c r="D328" s="9" t="inlineStr">
        <is>
          <t>recognise the connection between algebraic and graphical representations of exponential relations and solve related exponential equations, using digital tools where appropriate</t>
        </is>
      </c>
      <c r="E328" s="9" t="n">
        <v>4</v>
      </c>
      <c r="F328" s="9" t="inlineStr">
        <is>
          <t>investigating First Nations Australian Ranger groups’ and other groups’ programs that attempt to eradicate feral animals for survival of native animals on Country/Place, exploring the competition between feral and native animals and their impact on natural resources by formulating exponential equations for population growth for each animal species</t>
        </is>
      </c>
    </row>
    <row r="329" ht="45.75" customHeight="1" s="1">
      <c r="A329" s="9" t="inlineStr">
        <is>
          <t>AC9M10A04</t>
        </is>
      </c>
      <c r="B329" s="9" t="n">
        <v>10</v>
      </c>
      <c r="C329" s="9" t="inlineStr">
        <is>
          <t>Algebra</t>
        </is>
      </c>
      <c r="D329" s="9" t="inlineStr">
        <is>
          <t>use mathematical modelling to solve applied problems involving growth and decay, including financial contexts; formulate problems, choosing to apply linear, quadratic or exponential models; interpret solutions in terms of the situation; evaluate and modify models as necessary and report assumptions, methods and findings</t>
        </is>
      </c>
      <c r="E329" s="9" t="n">
        <v>1</v>
      </c>
      <c r="F329" s="9" t="inlineStr">
        <is>
          <t>modelling situations and choosing between linear, quadratic and exponential models by representing relationships in a table of values and recognising that linear functions have constant first differences, quadratic functions have constant second differences and exponential functions have a constant ratio between consecutive values of the dependent variable</t>
        </is>
      </c>
    </row>
    <row r="330" ht="45.75" customHeight="1" s="1">
      <c r="A330" s="9" t="inlineStr">
        <is>
          <t>AC9M10A04</t>
        </is>
      </c>
      <c r="B330" s="9" t="n">
        <v>10</v>
      </c>
      <c r="C330" s="9" t="inlineStr">
        <is>
          <t>Algebra</t>
        </is>
      </c>
      <c r="D330" s="9" t="inlineStr">
        <is>
          <t>use mathematical modelling to solve applied problems involving growth and decay, including financial contexts; formulate problems, choosing to apply linear, quadratic or exponential models; interpret solutions in terms of the situation; evaluate and modify models as necessary and report assumptions, methods and findings</t>
        </is>
      </c>
      <c r="E330" s="9" t="n">
        <v>2</v>
      </c>
      <c r="F330" s="9" t="inlineStr">
        <is>
          <t>modelling situations involving exponential growth and decay, and contrasting this with linear growth or decay; for example, situations involving constant percentage change and constant ratio; determining doubling time and half-life and approximate intervals for which the values of the model lie within a given range</t>
        </is>
      </c>
    </row>
    <row r="331" ht="45.75" customHeight="1" s="1">
      <c r="A331" s="9" t="inlineStr">
        <is>
          <t>AC9M10A04</t>
        </is>
      </c>
      <c r="B331" s="9" t="n">
        <v>10</v>
      </c>
      <c r="C331" s="9" t="inlineStr">
        <is>
          <t>Algebra</t>
        </is>
      </c>
      <c r="D331" s="9" t="inlineStr">
        <is>
          <t>use mathematical modelling to solve applied problems involving growth and decay, including financial contexts; formulate problems, choosing to apply linear, quadratic or exponential models; interpret solutions in terms of the situation; evaluate and modify models as necessary and report assumptions, methods and findings</t>
        </is>
      </c>
      <c r="E331" s="9" t="n">
        <v>3</v>
      </c>
      <c r="F331" s="9" t="inlineStr">
        <is>
          <t>modelling situations that involve working with authentic information, data and interest rates to calculate compound interest and solve related problems</t>
        </is>
      </c>
    </row>
    <row r="332" ht="45.75" customHeight="1" s="1">
      <c r="A332" s="9" t="inlineStr">
        <is>
          <t>AC9M10A04</t>
        </is>
      </c>
      <c r="B332" s="9" t="n">
        <v>10</v>
      </c>
      <c r="C332" s="9" t="inlineStr">
        <is>
          <t>Algebra</t>
        </is>
      </c>
      <c r="D332" s="9" t="inlineStr">
        <is>
          <t>use mathematical modelling to solve applied problems involving growth and decay, including financial contexts; formulate problems, choosing to apply linear, quadratic or exponential models; interpret solutions in terms of the situation; evaluate and modify models as necessary and report assumptions, methods and findings</t>
        </is>
      </c>
      <c r="E332" s="9" t="n">
        <v>4</v>
      </c>
      <c r="F332" s="9" t="inlineStr">
        <is>
          <t>modelling and investigating how exponential equations are used in carbon dating to estimate the age of First Nations Australians’ artefacts or material culture</t>
        </is>
      </c>
    </row>
    <row r="333" ht="45.75" customHeight="1" s="1">
      <c r="A333" s="9" t="inlineStr">
        <is>
          <t>AC9M10A04</t>
        </is>
      </c>
      <c r="B333" s="9" t="n">
        <v>10</v>
      </c>
      <c r="C333" s="9" t="inlineStr">
        <is>
          <t>Algebra</t>
        </is>
      </c>
      <c r="D333" s="9" t="inlineStr">
        <is>
          <t>use mathematical modelling to solve applied problems involving growth and decay, including financial contexts; formulate problems, choosing to apply linear, quadratic or exponential models; interpret solutions in terms of the situation; evaluate and modify models as necessary and report assumptions, methods and findings</t>
        </is>
      </c>
      <c r="E333" s="9" t="n">
        <v>5</v>
      </c>
      <c r="F333" s="9" t="inlineStr">
        <is>
          <t>modelling and formulating situations involving population growths of native animals on Country/Place with varying reproductive behaviour, using exponential equations and critiquing their applicability to real-world situations</t>
        </is>
      </c>
    </row>
    <row r="334" ht="23.25" customHeight="1" s="1">
      <c r="A334" s="9" t="inlineStr">
        <is>
          <t>AC9M10A05</t>
        </is>
      </c>
      <c r="B334" s="9" t="n">
        <v>10</v>
      </c>
      <c r="C334" s="9" t="inlineStr">
        <is>
          <t>Algebra</t>
        </is>
      </c>
      <c r="D334" s="9" t="inlineStr">
        <is>
          <t>experiment with functions and relations using digital tools, making and testing conjectures and generalising emerging patterns</t>
        </is>
      </c>
      <c r="E334" s="9" t="n">
        <v>1</v>
      </c>
      <c r="F334" s="9" t="inlineStr">
        <is>
          <t>applying the graphing zoom functionality of digital tools and systematically refining intervals to identify approximate location of points of intersection of the graphs of 2 functions, such as x²=2ˣ</t>
        </is>
      </c>
    </row>
    <row r="335" ht="23.25" customHeight="1" s="1">
      <c r="A335" s="9" t="inlineStr">
        <is>
          <t>AC9M10A05</t>
        </is>
      </c>
      <c r="B335" s="9" t="n">
        <v>10</v>
      </c>
      <c r="C335" s="9" t="inlineStr">
        <is>
          <t>Algebra</t>
        </is>
      </c>
      <c r="D335" s="9" t="inlineStr">
        <is>
          <t>experiment with functions and relations using digital tools, making and testing conjectures and generalising emerging patterns</t>
        </is>
      </c>
      <c r="E335" s="9" t="n">
        <v>2</v>
      </c>
      <c r="F335" s="9" t="inlineStr">
        <is>
          <t>applying a bisection algorithm to determine the approximate location of the horizontal axis intercepts of the graph of a quadratic function such as f(x)=2x²-3x-7</t>
        </is>
      </c>
    </row>
    <row r="336" ht="23.25" customHeight="1" s="1">
      <c r="A336" s="9" t="inlineStr">
        <is>
          <t>AC9M10A05</t>
        </is>
      </c>
      <c r="B336" s="9" t="n">
        <v>10</v>
      </c>
      <c r="C336" s="9" t="inlineStr">
        <is>
          <t>Algebra</t>
        </is>
      </c>
      <c r="D336" s="9" t="inlineStr">
        <is>
          <t>experiment with functions and relations using digital tools, making and testing conjectures and generalising emerging patterns</t>
        </is>
      </c>
      <c r="E336" s="9" t="n">
        <v>3</v>
      </c>
      <c r="F336" s="9" t="inlineStr">
        <is>
          <t>applying transformations to the graph of x²+y²=1</t>
        </is>
      </c>
    </row>
    <row r="337" ht="23.25" customHeight="1" s="1">
      <c r="A337" s="9" t="inlineStr">
        <is>
          <t>AC9M10A05</t>
        </is>
      </c>
      <c r="B337" s="9" t="n">
        <v>10</v>
      </c>
      <c r="C337" s="9" t="inlineStr">
        <is>
          <t>Algebra</t>
        </is>
      </c>
      <c r="D337" s="9" t="inlineStr">
        <is>
          <t>experiment with functions and relations using digital tools, making and testing conjectures and generalising emerging patterns</t>
        </is>
      </c>
      <c r="E337" s="9" t="n">
        <v>4</v>
      </c>
      <c r="F337" s="9" t="inlineStr">
        <is>
          <t>identifying the coordinates of any points of intersection of the graph of a linear function with the graph of a quadratic function or a circle</t>
        </is>
      </c>
    </row>
    <row r="338" ht="23.25" customHeight="1" s="1">
      <c r="A338" s="9" t="inlineStr">
        <is>
          <t>AC9M10A05</t>
        </is>
      </c>
      <c r="B338" s="9" t="n">
        <v>10</v>
      </c>
      <c r="C338" s="9" t="inlineStr">
        <is>
          <t>Algebra</t>
        </is>
      </c>
      <c r="D338" s="9" t="inlineStr">
        <is>
          <t>experiment with functions and relations using digital tools, making and testing conjectures and generalising emerging patterns</t>
        </is>
      </c>
      <c r="E338" s="9" t="n">
        <v>5</v>
      </c>
      <c r="F338" s="9" t="inlineStr">
        <is>
          <t>identifying intervals on the real number line over which a given quadratic function is positive or negative</t>
        </is>
      </c>
    </row>
    <row r="339" ht="23.25" customHeight="1" s="1">
      <c r="A339" s="9" t="inlineStr">
        <is>
          <t>AC9M10A05</t>
        </is>
      </c>
      <c r="B339" s="9" t="n">
        <v>10</v>
      </c>
      <c r="C339" s="9" t="inlineStr">
        <is>
          <t>Algebra</t>
        </is>
      </c>
      <c r="D339" s="9" t="inlineStr">
        <is>
          <t>experiment with functions and relations using digital tools, making and testing conjectures and generalising emerging patterns</t>
        </is>
      </c>
      <c r="E339" s="9" t="n">
        <v>6</v>
      </c>
      <c r="F339" s="9" t="inlineStr">
        <is>
          <t>using a table of values to determine when an exponential growth or decay function exceeds or falls below a given value, such as monitoring the trend in value of a share price in a context of exponential growth or decay</t>
        </is>
      </c>
    </row>
    <row r="340" ht="23.25" customHeight="1" s="1">
      <c r="A340" s="9" t="inlineStr">
        <is>
          <t>AC9M10M01</t>
        </is>
      </c>
      <c r="B340" s="9" t="n">
        <v>10</v>
      </c>
      <c r="C340" s="9" t="inlineStr">
        <is>
          <t>Measurement</t>
        </is>
      </c>
      <c r="D340" s="9" t="inlineStr">
        <is>
          <t>solve problems involving the surface area and volume of composite objects using appropriate units</t>
        </is>
      </c>
      <c r="E340" s="9" t="n">
        <v>1</v>
      </c>
      <c r="F340" s="9" t="inlineStr">
        <is>
          <t>determining the volumes and surface areas of composite solids, formed from a range of right prisms and cylinders, by considering the individual solids from which they are constructed</t>
        </is>
      </c>
    </row>
    <row r="341" ht="15" customHeight="1" s="1">
      <c r="A341" s="9" t="inlineStr">
        <is>
          <t>AC9M10M01</t>
        </is>
      </c>
      <c r="B341" s="9" t="n">
        <v>10</v>
      </c>
      <c r="C341" s="9" t="inlineStr">
        <is>
          <t>Measurement</t>
        </is>
      </c>
      <c r="D341" s="9" t="inlineStr">
        <is>
          <t>solve problems involving the surface area and volume of composite objects using appropriate units</t>
        </is>
      </c>
      <c r="E341" s="9" t="n">
        <v>2</v>
      </c>
      <c r="F341" s="9" t="inlineStr">
        <is>
          <t>estimating the surface area and volume of composite objects in practical contexts</t>
        </is>
      </c>
    </row>
    <row r="342" ht="45.75" customHeight="1" s="1">
      <c r="A342" s="9" t="inlineStr">
        <is>
          <t>AC9M10M01</t>
        </is>
      </c>
      <c r="B342" s="9" t="n">
        <v>10</v>
      </c>
      <c r="C342" s="9" t="inlineStr">
        <is>
          <t>Measurement</t>
        </is>
      </c>
      <c r="D342" s="9" t="inlineStr">
        <is>
          <t>solve problems involving the surface area and volume of composite objects using appropriate units</t>
        </is>
      </c>
      <c r="E342" s="9" t="n">
        <v>3</v>
      </c>
      <c r="F342" s="9" t="inlineStr">
        <is>
          <t>using mathematical modelling to provide solutions to problems involving surface area and volume; for example, ascertaining the rainfall that can be saved from a roof top and the optimal shape and dimensions for rainwater storage based on where it will be located on a property; determining whether to hire extra freezer space for the amount of ice cream required at a fundraising event for the school or community</t>
        </is>
      </c>
    </row>
    <row r="343" ht="15" customHeight="1" s="1">
      <c r="A343" s="9" t="inlineStr">
        <is>
          <t>AC9M10M02</t>
        </is>
      </c>
      <c r="B343" s="9" t="n">
        <v>10</v>
      </c>
      <c r="C343" s="9" t="inlineStr">
        <is>
          <t>Measurement</t>
        </is>
      </c>
      <c r="D343" s="9" t="inlineStr">
        <is>
          <t>interpret and use logarithmic scales in applied contexts involving small and large quantities and change</t>
        </is>
      </c>
      <c r="E343" s="9" t="n">
        <v>1</v>
      </c>
      <c r="F343" s="9" t="inlineStr">
        <is>
          <t>understanding that the logarithmic scale is calibrated in terms of order of magnitude; for example, doubling or powers of 10</t>
        </is>
      </c>
    </row>
    <row r="344" ht="34.5" customHeight="1" s="1">
      <c r="A344" s="9" t="inlineStr">
        <is>
          <t>AC9M10M02</t>
        </is>
      </c>
      <c r="B344" s="9" t="n">
        <v>10</v>
      </c>
      <c r="C344" s="9" t="inlineStr">
        <is>
          <t>Measurement</t>
        </is>
      </c>
      <c r="D344" s="9" t="inlineStr">
        <is>
          <t>interpret and use logarithmic scales in applied contexts involving small and large quantities and change</t>
        </is>
      </c>
      <c r="E344" s="9" t="n">
        <v>2</v>
      </c>
      <c r="F344" s="9" t="inlineStr">
        <is>
          <t>identifying and interpreting data representations (charts and graphs) that use logarithmic scales and discussing when it is appropriate to use this type of scale and when it is not appropriate; for example, graphs representing percentage change, a wide range of values or exponential growth</t>
        </is>
      </c>
    </row>
    <row r="345" ht="34.5" customHeight="1" s="1">
      <c r="A345" s="9" t="inlineStr">
        <is>
          <t>AC9M10M02</t>
        </is>
      </c>
      <c r="B345" s="9" t="n">
        <v>10</v>
      </c>
      <c r="C345" s="9" t="inlineStr">
        <is>
          <t>Measurement</t>
        </is>
      </c>
      <c r="D345" s="9" t="inlineStr">
        <is>
          <t>interpret and use logarithmic scales in applied contexts involving small and large quantities and change</t>
        </is>
      </c>
      <c r="E345" s="9" t="n">
        <v>3</v>
      </c>
      <c r="F345" s="9" t="inlineStr">
        <is>
          <t>investigating and interpreting logarithmic scales used in real-world contexts; for example, Richter, decibel and sensitivity scales or growth in investments, timescales and the spread of micro-organisms and disease and describing reasons for choosing to use a logarithmic scale rather than a linear scale</t>
        </is>
      </c>
    </row>
    <row r="346" ht="34.5" customHeight="1" s="1">
      <c r="A346" s="9" t="inlineStr">
        <is>
          <t>AC9M10M02</t>
        </is>
      </c>
      <c r="B346" s="9" t="n">
        <v>10</v>
      </c>
      <c r="C346" s="9" t="inlineStr">
        <is>
          <t>Measurement</t>
        </is>
      </c>
      <c r="D346" s="9" t="inlineStr">
        <is>
          <t>interpret and use logarithmic scales in applied contexts involving small and large quantities and change</t>
        </is>
      </c>
      <c r="E346" s="9" t="n">
        <v>4</v>
      </c>
      <c r="F346" s="9" t="inlineStr">
        <is>
          <t>investigating dating methods of geological sites to provide evidence of First Peoples of Australia’s human presence in Australia, including the Madjedbebe dig in the Northern Territory, that use logarithmic scales (scientific notation) and measurement accuracy in the dating</t>
        </is>
      </c>
    </row>
    <row r="347" ht="23.25" customHeight="1" s="1">
      <c r="A347" s="9" t="inlineStr">
        <is>
          <t>AC9M10M03</t>
        </is>
      </c>
      <c r="B347" s="9" t="n">
        <v>10</v>
      </c>
      <c r="C347" s="9" t="inlineStr">
        <is>
          <t>Measurement</t>
        </is>
      </c>
      <c r="D347" s="9" t="inlineStr">
        <is>
          <t>solve practical problems applying Pythagoras’ theorem and trigonometry of right-angled triangles, including problems involving direction and angles of elevation and depression</t>
        </is>
      </c>
      <c r="E347" s="9" t="n">
        <v>1</v>
      </c>
      <c r="F347" s="9" t="inlineStr">
        <is>
          <t>applying right-angled trigonometry to solve navigation problems involving bearings; for example, determining the bearing and estimating the distance of the final leg of an orienteering course</t>
        </is>
      </c>
    </row>
    <row r="348" ht="34.5" customHeight="1" s="1">
      <c r="A348" s="9" t="inlineStr">
        <is>
          <t>AC9M10M03</t>
        </is>
      </c>
      <c r="B348" s="9" t="n">
        <v>10</v>
      </c>
      <c r="C348" s="9" t="inlineStr">
        <is>
          <t>Measurement</t>
        </is>
      </c>
      <c r="D348" s="9" t="inlineStr">
        <is>
          <t>solve practical problems applying Pythagoras’ theorem and trigonometry of right-angled triangles, including problems involving direction and angles of elevation and depression</t>
        </is>
      </c>
      <c r="E348" s="9" t="n">
        <v>2</v>
      </c>
      <c r="F348" s="9" t="inlineStr">
        <is>
          <t>applying Pythagoras' theorem and trigonometry to problems in surveying and design, where three-dimensional problems are decomposed into two-dimensional problems; for example, investigating the dimensions of the smallest box needed to package an object of a particular length</t>
        </is>
      </c>
    </row>
    <row r="349" ht="23.25" customHeight="1" s="1">
      <c r="A349" s="9" t="inlineStr">
        <is>
          <t>AC9M10M03</t>
        </is>
      </c>
      <c r="B349" s="9" t="n">
        <v>10</v>
      </c>
      <c r="C349" s="9" t="inlineStr">
        <is>
          <t>Measurement</t>
        </is>
      </c>
      <c r="D349" s="9" t="inlineStr">
        <is>
          <t>solve practical problems applying Pythagoras’ theorem and trigonometry of right-angled triangles, including problems involving direction and angles of elevation and depression</t>
        </is>
      </c>
      <c r="E349" s="9" t="n">
        <v>3</v>
      </c>
      <c r="F349" s="9" t="inlineStr">
        <is>
          <t>using a clinometer to measure angles of inclination, and applying trigonometry, and proportional reasoning to determine the height of buildings in practical contexts</t>
        </is>
      </c>
    </row>
    <row r="350" ht="23.25" customHeight="1" s="1">
      <c r="A350" s="9" t="inlineStr">
        <is>
          <t>AC9M10M03</t>
        </is>
      </c>
      <c r="B350" s="9" t="n">
        <v>10</v>
      </c>
      <c r="C350" s="9" t="inlineStr">
        <is>
          <t>Measurement</t>
        </is>
      </c>
      <c r="D350" s="9" t="inlineStr">
        <is>
          <t>solve practical problems applying Pythagoras’ theorem and trigonometry of right-angled triangles, including problems involving direction and angles of elevation and depression</t>
        </is>
      </c>
      <c r="E350" s="9" t="n">
        <v>4</v>
      </c>
      <c r="F350" s="9" t="inlineStr">
        <is>
          <t>applying Pythagoras' theorem and trigonometry, and using dynamic geometric software, to design three-dimensional models of practical situations involving angles of elevation and depression; for example, modelling a crime scene</t>
        </is>
      </c>
    </row>
    <row r="351" ht="23.25" customHeight="1" s="1">
      <c r="A351" s="9" t="inlineStr">
        <is>
          <t>AC9M10M03</t>
        </is>
      </c>
      <c r="B351" s="9" t="n">
        <v>10</v>
      </c>
      <c r="C351" s="9" t="inlineStr">
        <is>
          <t>Measurement</t>
        </is>
      </c>
      <c r="D351" s="9" t="inlineStr">
        <is>
          <t>solve practical problems applying Pythagoras’ theorem and trigonometry of right-angled triangles, including problems involving direction and angles of elevation and depression</t>
        </is>
      </c>
      <c r="E351" s="9" t="n">
        <v>5</v>
      </c>
      <c r="F351" s="9" t="inlineStr">
        <is>
          <t>exploring navigation, design of technologies or surveying by First Nations Australians, investigating geometric and spatial reasoning, and how these connect to trigonometry</t>
        </is>
      </c>
    </row>
    <row r="352" ht="23.25" customHeight="1" s="1">
      <c r="A352" s="9" t="inlineStr">
        <is>
          <t>AC9M10M04</t>
        </is>
      </c>
      <c r="B352" s="9" t="n">
        <v>10</v>
      </c>
      <c r="C352" s="9" t="inlineStr">
        <is>
          <t>Measurement</t>
        </is>
      </c>
      <c r="D352" s="9" t="inlineStr">
        <is>
          <t>identify the impact of measurement errors on the accuracy of results in practical contexts</t>
        </is>
      </c>
      <c r="E352" s="9" t="n">
        <v>1</v>
      </c>
      <c r="F352" s="9" t="inlineStr">
        <is>
          <t>describing settings where measurement errors may impact research results and how measurement data impacted by error can result in biased findings</t>
        </is>
      </c>
    </row>
    <row r="353" ht="15" customHeight="1" s="1">
      <c r="A353" s="9" t="inlineStr">
        <is>
          <t>AC9M10M04</t>
        </is>
      </c>
      <c r="B353" s="9" t="n">
        <v>10</v>
      </c>
      <c r="C353" s="9" t="inlineStr">
        <is>
          <t>Measurement</t>
        </is>
      </c>
      <c r="D353" s="9" t="inlineStr">
        <is>
          <t>identify the impact of measurement errors on the accuracy of results in practical contexts</t>
        </is>
      </c>
      <c r="E353" s="9" t="n">
        <v>2</v>
      </c>
      <c r="F353" s="9" t="inlineStr">
        <is>
          <t>analysing instruments and methods for measuring in investigations and modelling activities</t>
        </is>
      </c>
    </row>
    <row r="354" ht="23.25" customHeight="1" s="1">
      <c r="A354" s="9" t="inlineStr">
        <is>
          <t>AC9M10M04</t>
        </is>
      </c>
      <c r="B354" s="9" t="n">
        <v>10</v>
      </c>
      <c r="C354" s="9" t="inlineStr">
        <is>
          <t>Measurement</t>
        </is>
      </c>
      <c r="D354" s="9" t="inlineStr">
        <is>
          <t>identify the impact of measurement errors on the accuracy of results in practical contexts</t>
        </is>
      </c>
      <c r="E354" s="9" t="n">
        <v>3</v>
      </c>
      <c r="F354" s="9" t="inlineStr">
        <is>
          <t>determining the impact that compounding errors have on financial calculations; for example, considering the effect of truncation on money amounts for large scale customer populations</t>
        </is>
      </c>
    </row>
    <row r="355" ht="23.25" customHeight="1" s="1">
      <c r="A355" s="9" t="inlineStr">
        <is>
          <t>AC9M10M04</t>
        </is>
      </c>
      <c r="B355" s="9" t="n">
        <v>10</v>
      </c>
      <c r="C355" s="9" t="inlineStr">
        <is>
          <t>Measurement</t>
        </is>
      </c>
      <c r="D355" s="9" t="inlineStr">
        <is>
          <t>identify the impact of measurement errors on the accuracy of results in practical contexts</t>
        </is>
      </c>
      <c r="E355" s="9" t="n">
        <v>4</v>
      </c>
      <c r="F355" s="9" t="inlineStr">
        <is>
          <t>investigating scientific measuring techniques, including dating methods and genetic sequencing, applied to First Peoples of Australia and their artefacts, and the social impact of measurement errors</t>
        </is>
      </c>
    </row>
    <row r="356" ht="34.5" customHeight="1" s="1">
      <c r="A356" s="9" t="inlineStr">
        <is>
          <t>AC9M10M05</t>
        </is>
      </c>
      <c r="B356" s="9" t="n">
        <v>10</v>
      </c>
      <c r="C356" s="9" t="inlineStr">
        <is>
          <t>Measurement</t>
        </is>
      </c>
      <c r="D356" s="9" t="inlineStr">
        <is>
          <t>use mathematical modelling to solve practical problems involving proportion and scaling of objects; formulate problems and interpret solutions in terms of the situation; evaluate and modify models as necessary, and report assumptions, methods and findings</t>
        </is>
      </c>
      <c r="E356" s="9" t="n">
        <v>1</v>
      </c>
      <c r="F356" s="9" t="inlineStr">
        <is>
          <t>using plans and elevation drawings to investigate making changes to building designs, employing appropriate scales and converting to actual measurements within the context to make decisions about changes</t>
        </is>
      </c>
    </row>
    <row r="357" ht="34.5" customHeight="1" s="1">
      <c r="A357" s="9" t="inlineStr">
        <is>
          <t>AC9M10M05</t>
        </is>
      </c>
      <c r="B357" s="9" t="n">
        <v>10</v>
      </c>
      <c r="C357" s="9" t="inlineStr">
        <is>
          <t>Measurement</t>
        </is>
      </c>
      <c r="D357" s="9" t="inlineStr">
        <is>
          <t>use mathematical modelling to solve practical problems involving proportion and scaling of objects; formulate problems and interpret solutions in terms of the situation; evaluate and modify models as necessary, and report assumptions, methods and findings</t>
        </is>
      </c>
      <c r="E357" s="9" t="n">
        <v>2</v>
      </c>
      <c r="F357" s="9" t="inlineStr">
        <is>
          <t>analysing and applying scale and ratios in situations such as production prototypes and 3D printing; for example, using a 3D printer to produce scaled versions of actual objects</t>
        </is>
      </c>
    </row>
    <row r="358" ht="34.5" customHeight="1" s="1">
      <c r="A358" s="9" t="inlineStr">
        <is>
          <t>AC9M10M05</t>
        </is>
      </c>
      <c r="B358" s="9" t="n">
        <v>10</v>
      </c>
      <c r="C358" s="9" t="inlineStr">
        <is>
          <t>Measurement</t>
        </is>
      </c>
      <c r="D358" s="9" t="inlineStr">
        <is>
          <t>use mathematical modelling to solve practical problems involving proportion and scaling of objects; formulate problems and interpret solutions in terms of the situation; evaluate and modify models as necessary, and report assumptions, methods and findings</t>
        </is>
      </c>
      <c r="E358" s="9" t="n">
        <v>3</v>
      </c>
      <c r="F358" s="9" t="inlineStr">
        <is>
          <t>estimating the scale of an object, such as a toy car, by measuring a linear dimension and using a typical car dimension to work out the scale factor</t>
        </is>
      </c>
    </row>
    <row r="359" ht="34.5" customHeight="1" s="1">
      <c r="A359" s="9" t="inlineStr">
        <is>
          <t>AC9M10M05</t>
        </is>
      </c>
      <c r="B359" s="9" t="n">
        <v>10</v>
      </c>
      <c r="C359" s="9" t="inlineStr">
        <is>
          <t>Measurement</t>
        </is>
      </c>
      <c r="D359" s="9" t="inlineStr">
        <is>
          <t>use mathematical modelling to solve practical problems involving proportion and scaling of objects; formulate problems and interpret solutions in terms of the situation; evaluate and modify models as necessary, and report assumptions, methods and findings</t>
        </is>
      </c>
      <c r="E359" s="9" t="n">
        <v>4</v>
      </c>
      <c r="F359" s="9" t="inlineStr">
        <is>
          <t>investigating compliance with building codes and standards in design and construction, such as for escalators in shopping centres</t>
        </is>
      </c>
    </row>
    <row r="360" ht="23.25" customHeight="1" s="1">
      <c r="A360" s="9" t="inlineStr">
        <is>
          <t>AC9M10SP01</t>
        </is>
      </c>
      <c r="B360" s="9" t="n">
        <v>10</v>
      </c>
      <c r="C360" s="9" t="inlineStr">
        <is>
          <t>Space</t>
        </is>
      </c>
      <c r="D360" s="9" t="inlineStr">
        <is>
          <t>apply deductive reasoning to proofs involving shapes in the plane and use theorems to solve spatial problems</t>
        </is>
      </c>
      <c r="E360" s="9" t="n">
        <v>1</v>
      </c>
      <c r="F360" s="9" t="inlineStr">
        <is>
          <t>distinguishing between a practical demonstration and a proof; for example, demonstrating that triangles are congruent by placing them on top of each other, as compared to using congruence tests to establish that triangles are congruent</t>
        </is>
      </c>
    </row>
    <row r="361" ht="23.25" customHeight="1" s="1">
      <c r="A361" s="9" t="inlineStr">
        <is>
          <t>AC9M10SP01</t>
        </is>
      </c>
      <c r="B361" s="9" t="n">
        <v>10</v>
      </c>
      <c r="C361" s="9" t="inlineStr">
        <is>
          <t>Space</t>
        </is>
      </c>
      <c r="D361" s="9" t="inlineStr">
        <is>
          <t>apply deductive reasoning to proofs involving shapes in the plane and use theorems to solve spatial problems</t>
        </is>
      </c>
      <c r="E361" s="9" t="n">
        <v>2</v>
      </c>
      <c r="F361" s="9" t="inlineStr">
        <is>
          <t>developing proofs involving congruent triangles and angle properties, communicating the proof using a sequence of logically connected statements</t>
        </is>
      </c>
    </row>
    <row r="362" ht="23.25" customHeight="1" s="1">
      <c r="A362" s="9" t="inlineStr">
        <is>
          <t>AC9M10SP01</t>
        </is>
      </c>
      <c r="B362" s="9" t="n">
        <v>10</v>
      </c>
      <c r="C362" s="9" t="inlineStr">
        <is>
          <t>Space</t>
        </is>
      </c>
      <c r="D362" s="9" t="inlineStr">
        <is>
          <t>apply deductive reasoning to proofs involving shapes in the plane and use theorems to solve spatial problems</t>
        </is>
      </c>
      <c r="E362" s="9" t="n">
        <v>3</v>
      </c>
      <c r="F362" s="9" t="inlineStr">
        <is>
          <t>applying an understanding of relationships to deduce properties of geometric figures; for example, the base angles of an isosceles triangle are equal</t>
        </is>
      </c>
    </row>
    <row r="363" ht="23.25" customHeight="1" s="1">
      <c r="A363" s="9" t="inlineStr">
        <is>
          <t>AC9M10SP01</t>
        </is>
      </c>
      <c r="B363" s="9" t="n">
        <v>10</v>
      </c>
      <c r="C363" s="9" t="inlineStr">
        <is>
          <t>Space</t>
        </is>
      </c>
      <c r="D363" s="9" t="inlineStr">
        <is>
          <t>apply deductive reasoning to proofs involving shapes in the plane and use theorems to solve spatial problems</t>
        </is>
      </c>
      <c r="E363" s="9" t="n">
        <v>4</v>
      </c>
      <c r="F363" s="9" t="inlineStr">
        <is>
          <t>investigating proofs of geometric theorems and using them to solve spatial problems; for example, applying logical reasoning and similarity to proofs and numerical exercises involving plane shapes; using visual proofs to justify solutions</t>
        </is>
      </c>
    </row>
    <row r="364" ht="23.25" customHeight="1" s="1">
      <c r="A364" s="9" t="inlineStr">
        <is>
          <t>AC9M10SP01</t>
        </is>
      </c>
      <c r="B364" s="9" t="n">
        <v>10</v>
      </c>
      <c r="C364" s="9" t="inlineStr">
        <is>
          <t>Space</t>
        </is>
      </c>
      <c r="D364" s="9" t="inlineStr">
        <is>
          <t>apply deductive reasoning to proofs involving shapes in the plane and use theorems to solve spatial problems</t>
        </is>
      </c>
      <c r="E364" s="9" t="n">
        <v>5</v>
      </c>
      <c r="F364" s="9" t="inlineStr">
        <is>
          <t>using dynamic geometric software to investigate the shortest path that touches 3 sides of a rectangle, starting and finishing at the same point and proving that the path forms a parallelogram</t>
        </is>
      </c>
    </row>
    <row r="365" ht="23.25" customHeight="1" s="1">
      <c r="A365" s="9" t="inlineStr">
        <is>
          <t>AC9M10SP02</t>
        </is>
      </c>
      <c r="B365" s="9" t="n">
        <v>10</v>
      </c>
      <c r="C365" s="9" t="inlineStr">
        <is>
          <t>Space</t>
        </is>
      </c>
      <c r="D365" s="9" t="inlineStr">
        <is>
          <t>interpret networks and network diagrams used to represent relationships in practical situations and describe connectedness</t>
        </is>
      </c>
      <c r="E365" s="9" t="n">
        <v>1</v>
      </c>
      <c r="F365" s="9" t="inlineStr">
        <is>
          <t>investigating how networks and network diagrams can be used to model authentic situations, recognising what real world quantity is represented by the nodes (vertices), and what real world quantity is represented by the links between them (edges)</t>
        </is>
      </c>
    </row>
    <row r="366" ht="23.25" customHeight="1" s="1">
      <c r="A366" s="9" t="inlineStr">
        <is>
          <t>AC9M10SP02</t>
        </is>
      </c>
      <c r="B366" s="9" t="n">
        <v>10</v>
      </c>
      <c r="C366" s="9" t="inlineStr">
        <is>
          <t>Space</t>
        </is>
      </c>
      <c r="D366" s="9" t="inlineStr">
        <is>
          <t>interpret networks and network diagrams used to represent relationships in practical situations and describe connectedness</t>
        </is>
      </c>
      <c r="E366" s="9" t="n">
        <v>2</v>
      </c>
      <c r="F366" s="9" t="inlineStr">
        <is>
          <t>investigating the use of graphs to represent a network, analysing connectedness; for example, investigating the “The Seven Bridges of Königsberg” problem</t>
        </is>
      </c>
    </row>
    <row r="367" ht="23.25" customHeight="1" s="1">
      <c r="A367" s="9" t="inlineStr">
        <is>
          <t>AC9M10SP02</t>
        </is>
      </c>
      <c r="B367" s="9" t="n">
        <v>10</v>
      </c>
      <c r="C367" s="9" t="inlineStr">
        <is>
          <t>Space</t>
        </is>
      </c>
      <c r="D367" s="9" t="inlineStr">
        <is>
          <t>interpret networks and network diagrams used to represent relationships in practical situations and describe connectedness</t>
        </is>
      </c>
      <c r="E367" s="9" t="n">
        <v>3</v>
      </c>
      <c r="F367" s="9" t="inlineStr">
        <is>
          <t>investigating how polyhedra can be represented as a network using edges, vertices, interior and exterior faces; representing the number of edges, vertices and faces in a table and demonstrating how Euler’s formula F + V = E + 2 applies</t>
        </is>
      </c>
    </row>
    <row r="368" ht="34.5" customHeight="1" s="1">
      <c r="A368" s="9" t="inlineStr">
        <is>
          <t>AC9M10SP02</t>
        </is>
      </c>
      <c r="B368" s="9" t="n">
        <v>10</v>
      </c>
      <c r="C368" s="9" t="inlineStr">
        <is>
          <t>Space</t>
        </is>
      </c>
      <c r="D368" s="9" t="inlineStr">
        <is>
          <t>interpret networks and network diagrams used to represent relationships in practical situations and describe connectedness</t>
        </is>
      </c>
      <c r="E368" s="9" t="n">
        <v>4</v>
      </c>
      <c r="F368" s="9" t="inlineStr">
        <is>
          <t>investigating how a social network, intranet, local area network (LAN), electrical wiring or wireless network of a home can be represented as a network diagram to specify relationships; for example, using network diagrams to investigate practical problems involving connections, power overload or the need for routers</t>
        </is>
      </c>
    </row>
    <row r="369" ht="23.25" customHeight="1" s="1">
      <c r="A369" s="9" t="inlineStr">
        <is>
          <t>AC9M10SP02</t>
        </is>
      </c>
      <c r="B369" s="9" t="n">
        <v>10</v>
      </c>
      <c r="C369" s="9" t="inlineStr">
        <is>
          <t>Space</t>
        </is>
      </c>
      <c r="D369" s="9" t="inlineStr">
        <is>
          <t>interpret networks and network diagrams used to represent relationships in practical situations and describe connectedness</t>
        </is>
      </c>
      <c r="E369" s="9" t="n">
        <v>5</v>
      </c>
      <c r="F369" s="9" t="inlineStr">
        <is>
          <t>investigating the use of networks to represent authentic situations; for example, rail or air travel between or within London, Paris, Hong Kong; a food web representing a simple eco-system; metabolic networks and other chemical or biological structures</t>
        </is>
      </c>
    </row>
    <row r="370" ht="23.25" customHeight="1" s="1">
      <c r="A370" s="9" t="inlineStr">
        <is>
          <t>AC9M10SP02</t>
        </is>
      </c>
      <c r="B370" s="9" t="n">
        <v>10</v>
      </c>
      <c r="C370" s="9" t="inlineStr">
        <is>
          <t>Space</t>
        </is>
      </c>
      <c r="D370" s="9" t="inlineStr">
        <is>
          <t>interpret networks and network diagrams used to represent relationships in practical situations and describe connectedness</t>
        </is>
      </c>
      <c r="E370" s="9" t="n">
        <v>6</v>
      </c>
      <c r="F370" s="9" t="inlineStr">
        <is>
          <t>representing First Nations Australians’ kinship systems using network diagrams and exploring the significance of relationships to Country/Place</t>
        </is>
      </c>
    </row>
    <row r="371" ht="23.25" customHeight="1" s="1">
      <c r="A371" s="9" t="inlineStr">
        <is>
          <t>AC9M10SP03</t>
        </is>
      </c>
      <c r="B371" s="9" t="n">
        <v>10</v>
      </c>
      <c r="C371" s="9" t="inlineStr">
        <is>
          <t>Space</t>
        </is>
      </c>
      <c r="D371" s="9" t="inlineStr">
        <is>
          <t>design, test and refine solutions to spatial problems using algorithms and digital tools; communicate and justify solutions</t>
        </is>
      </c>
      <c r="E371" s="9" t="n">
        <v>1</v>
      </c>
      <c r="F371" s="9" t="inlineStr">
        <is>
          <t>designing and making scale models of three-dimensional objects using digital tools; for example, making components of a puzzle using a three-dimensional printer, planning and designing the puzzle using principles of tessellations</t>
        </is>
      </c>
    </row>
    <row r="372" ht="34.5" customHeight="1" s="1">
      <c r="A372" s="9" t="inlineStr">
        <is>
          <t>AC9M10SP03</t>
        </is>
      </c>
      <c r="B372" s="9" t="n">
        <v>10</v>
      </c>
      <c r="C372" s="9" t="inlineStr">
        <is>
          <t>Space</t>
        </is>
      </c>
      <c r="D372" s="9" t="inlineStr">
        <is>
          <t>design, test and refine solutions to spatial problems using algorithms and digital tools; communicate and justify solutions</t>
        </is>
      </c>
      <c r="E372" s="9" t="n">
        <v>2</v>
      </c>
      <c r="F372" s="9" t="inlineStr">
        <is>
          <t>applying a computational thinking approach to solving problems involving networks; for example, connectedness, coverage and weighted measures; taking different routes and choosing the most efficient route to take when travelling by car using virtual map software</t>
        </is>
      </c>
    </row>
    <row r="373" ht="34.5" customHeight="1" s="1">
      <c r="A373" s="9" t="inlineStr">
        <is>
          <t>AC9M10SP03</t>
        </is>
      </c>
      <c r="B373" s="9" t="n">
        <v>10</v>
      </c>
      <c r="C373" s="9" t="inlineStr">
        <is>
          <t>Space</t>
        </is>
      </c>
      <c r="D373" s="9" t="inlineStr">
        <is>
          <t>design, test and refine solutions to spatial problems using algorithms and digital tools; communicate and justify solutions</t>
        </is>
      </c>
      <c r="E373" s="9" t="n">
        <v>3</v>
      </c>
      <c r="F373" s="9" t="inlineStr">
        <is>
          <t>defining and decomposing spatial problems, creating and applying algorithms to generate solutions, evaluating and communicating solutions in terms of the problem; for example, designing a floor plan for a department store that limits congestion at key areas such as checkouts, changing rooms and popular sale items</t>
        </is>
      </c>
    </row>
    <row r="374" ht="23.25" customHeight="1" s="1">
      <c r="A374" s="9" t="inlineStr">
        <is>
          <t>AC9M10SP03</t>
        </is>
      </c>
      <c r="B374" s="9" t="n">
        <v>10</v>
      </c>
      <c r="C374" s="9" t="inlineStr">
        <is>
          <t>Space</t>
        </is>
      </c>
      <c r="D374" s="9" t="inlineStr">
        <is>
          <t>design, test and refine solutions to spatial problems using algorithms and digital tools; communicate and justify solutions</t>
        </is>
      </c>
      <c r="E374" s="9" t="n">
        <v>4</v>
      </c>
      <c r="F374" s="9" t="inlineStr">
        <is>
          <t>designing, creating and testing algorithms using pseudocode or flow charts for producing self-similar patterns; validating algorithms using a range of test cases to compare their output</t>
        </is>
      </c>
    </row>
    <row r="375" ht="23.25" customHeight="1" s="1">
      <c r="A375" s="9" t="inlineStr">
        <is>
          <t>AC9M10SP03</t>
        </is>
      </c>
      <c r="B375" s="9" t="n">
        <v>10</v>
      </c>
      <c r="C375" s="9" t="inlineStr">
        <is>
          <t>Space</t>
        </is>
      </c>
      <c r="D375" s="9" t="inlineStr">
        <is>
          <t>design, test and refine solutions to spatial problems using algorithms and digital tools; communicate and justify solutions</t>
        </is>
      </c>
      <c r="E375" s="9" t="n">
        <v>5</v>
      </c>
      <c r="F375" s="9" t="inlineStr">
        <is>
          <t>exploring geospatial technologies used by First Nations Australians’ communities to consider spatial problems including position and transformation</t>
        </is>
      </c>
    </row>
    <row r="376" ht="34.5" customHeight="1" s="1">
      <c r="A376" s="9" t="inlineStr">
        <is>
          <t>AC9M10ST01</t>
        </is>
      </c>
      <c r="B376" s="9" t="n">
        <v>10</v>
      </c>
      <c r="C376" s="9" t="inlineStr">
        <is>
          <t>Statistics</t>
        </is>
      </c>
      <c r="D376" s="9" t="inlineStr">
        <is>
          <t>analyse claims, inferences and conclusions of statistical reports in the media, including ethical considerations and identification of potential sources of bias</t>
        </is>
      </c>
      <c r="E376" s="9" t="n">
        <v>1</v>
      </c>
      <c r="F376" s="9" t="inlineStr">
        <is>
          <t>identifying potentially misleading data representations in the media such as graphs with broken axes and scales that do not start at zero or are nonlinear; recognising when data is not related to the claim, not representative of the population or is deliberately being used to mislead, or support a claim or biased point of view</t>
        </is>
      </c>
    </row>
    <row r="377" ht="23.25" customHeight="1" s="1">
      <c r="A377" s="9" t="inlineStr">
        <is>
          <t>AC9M10ST01</t>
        </is>
      </c>
      <c r="B377" s="9" t="n">
        <v>10</v>
      </c>
      <c r="C377" s="9" t="inlineStr">
        <is>
          <t>Statistics</t>
        </is>
      </c>
      <c r="D377" s="9" t="inlineStr">
        <is>
          <t>analyse claims, inferences and conclusions of statistical reports in the media, including ethical considerations and identification of potential sources of bias</t>
        </is>
      </c>
      <c r="E377" s="9" t="n">
        <v>2</v>
      </c>
      <c r="F377" s="9" t="inlineStr">
        <is>
          <t>investigating the source and size of the sample from which the data was collected and deciding whether the sample is appropriately representative of the population</t>
        </is>
      </c>
    </row>
    <row r="378" ht="23.25" customHeight="1" s="1">
      <c r="A378" s="9" t="inlineStr">
        <is>
          <t>AC9M10ST01</t>
        </is>
      </c>
      <c r="B378" s="9" t="n">
        <v>10</v>
      </c>
      <c r="C378" s="9" t="inlineStr">
        <is>
          <t>Statistics</t>
        </is>
      </c>
      <c r="D378" s="9" t="inlineStr">
        <is>
          <t>analyse claims, inferences and conclusions of statistical reports in the media, including ethical considerations and identification of potential sources of bias</t>
        </is>
      </c>
      <c r="E378" s="9" t="n">
        <v>3</v>
      </c>
      <c r="F378" s="9" t="inlineStr">
        <is>
          <t>investigating population rates and discussing potential ethical considerations when presenting statistical data involving infection rates, and the number of cases per head of population</t>
        </is>
      </c>
    </row>
    <row r="379" ht="34.5" customHeight="1" s="1">
      <c r="A379" s="9" t="inlineStr">
        <is>
          <t>AC9M10ST01</t>
        </is>
      </c>
      <c r="B379" s="9" t="n">
        <v>10</v>
      </c>
      <c r="C379" s="9" t="inlineStr">
        <is>
          <t>Statistics</t>
        </is>
      </c>
      <c r="D379" s="9" t="inlineStr">
        <is>
          <t>analyse claims, inferences and conclusions of statistical reports in the media, including ethical considerations and identification of potential sources of bias</t>
        </is>
      </c>
      <c r="E379" s="9" t="n">
        <v>4</v>
      </c>
      <c r="F379" s="9" t="inlineStr">
        <is>
          <t>using secondary data to predict the number of people likely to be infected with a strain of flu or experience side effects with a certain medication, discussing the ethical considerations of reporting of such data to the wider public, considering validity claims and samples sizes</t>
        </is>
      </c>
    </row>
    <row r="380" ht="23.25" customHeight="1" s="1">
      <c r="A380" s="9" t="inlineStr">
        <is>
          <t>AC9M10ST01</t>
        </is>
      </c>
      <c r="B380" s="9" t="n">
        <v>10</v>
      </c>
      <c r="C380" s="9" t="inlineStr">
        <is>
          <t>Statistics</t>
        </is>
      </c>
      <c r="D380" s="9" t="inlineStr">
        <is>
          <t>analyse claims, inferences and conclusions of statistical reports in the media, including ethical considerations and identification of potential sources of bias</t>
        </is>
      </c>
      <c r="E380" s="9" t="n">
        <v>5</v>
      </c>
      <c r="F380" s="9" t="inlineStr">
        <is>
          <t>using the concept of Indigenous data sovereignty to critique and evaluate the Australian Government’s “Closing the Gap” report</t>
        </is>
      </c>
    </row>
    <row r="381" ht="34.5" customHeight="1" s="1">
      <c r="A381" s="9" t="inlineStr">
        <is>
          <t>AC9M10ST02</t>
        </is>
      </c>
      <c r="B381" s="9" t="n">
        <v>10</v>
      </c>
      <c r="C381" s="9" t="inlineStr">
        <is>
          <t>Statistics</t>
        </is>
      </c>
      <c r="D381" s="9" t="inlineStr">
        <is>
          <t>compare data distributions for continuous numerical variables using appropriate data displays including boxplots; discuss the shapes of these distributions in terms of centre, spread, shape and outliers in the context of the data</t>
        </is>
      </c>
      <c r="E381" s="9" t="n">
        <v>1</v>
      </c>
      <c r="F381" s="9" t="inlineStr">
        <is>
          <t>constructing and interpreting box plots and using them to compare data sets, understanding that box plots are an efficient and common way of representing and summarising data and can facilitate comparisons between data sets</t>
        </is>
      </c>
    </row>
    <row r="382" ht="34.5" customHeight="1" s="1">
      <c r="A382" s="9" t="inlineStr">
        <is>
          <t>AC9M10ST02</t>
        </is>
      </c>
      <c r="B382" s="9" t="n">
        <v>10</v>
      </c>
      <c r="C382" s="9" t="inlineStr">
        <is>
          <t>Statistics</t>
        </is>
      </c>
      <c r="D382" s="9" t="inlineStr">
        <is>
          <t>compare data distributions for continuous numerical variables using appropriate data displays including boxplots; discuss the shapes of these distributions in terms of centre, spread, shape and outliers in the context of the data</t>
        </is>
      </c>
      <c r="E382" s="9" t="n">
        <v>2</v>
      </c>
      <c r="F382" s="9" t="inlineStr">
        <is>
          <t>comparing shapes of distributions using box plots, histograms, cumulative frequency graphs and dot plots, discussing symmetry, skew and modality</t>
        </is>
      </c>
    </row>
    <row r="383" ht="34.5" customHeight="1" s="1">
      <c r="A383" s="9" t="inlineStr">
        <is>
          <t>AC9M10ST02</t>
        </is>
      </c>
      <c r="B383" s="9" t="n">
        <v>10</v>
      </c>
      <c r="C383" s="9" t="inlineStr">
        <is>
          <t>Statistics</t>
        </is>
      </c>
      <c r="D383" s="9" t="inlineStr">
        <is>
          <t>compare data distributions for continuous numerical variables using appropriate data displays including boxplots; discuss the shapes of these distributions in terms of centre, spread, shape and outliers in the context of the data</t>
        </is>
      </c>
      <c r="E383" s="9" t="n">
        <v>3</v>
      </c>
      <c r="F383" s="9" t="inlineStr">
        <is>
          <t>using digital tools to compare boxplots and histograms as displays of the same data in the light of the statistical questions being addressed and the effectiveness of the display in helping to answer the question</t>
        </is>
      </c>
    </row>
    <row r="384" ht="34.5" customHeight="1" s="1">
      <c r="A384" s="9" t="inlineStr">
        <is>
          <t>AC9M10ST02</t>
        </is>
      </c>
      <c r="B384" s="9" t="n">
        <v>10</v>
      </c>
      <c r="C384" s="9" t="inlineStr">
        <is>
          <t>Statistics</t>
        </is>
      </c>
      <c r="D384" s="9" t="inlineStr">
        <is>
          <t>compare data distributions for continuous numerical variables using appropriate data displays including boxplots; discuss the shapes of these distributions in terms of centre, spread, shape and outliers in the context of the data</t>
        </is>
      </c>
      <c r="E384" s="9" t="n">
        <v>4</v>
      </c>
      <c r="F384" s="9" t="inlineStr">
        <is>
          <t>finding the five-number summary (minimum and maximum values, median, and upper and lower quartiles) and using its graphical representation, the box plot, as tools for both numerically and visually comparing the centre and spread of data sets</t>
        </is>
      </c>
    </row>
    <row r="385" ht="34.5" customHeight="1" s="1">
      <c r="A385" s="9" t="inlineStr">
        <is>
          <t>AC9M10ST02</t>
        </is>
      </c>
      <c r="B385" s="9" t="n">
        <v>10</v>
      </c>
      <c r="C385" s="9" t="inlineStr">
        <is>
          <t>Statistics</t>
        </is>
      </c>
      <c r="D385" s="9" t="inlineStr">
        <is>
          <t>compare data distributions for continuous numerical variables using appropriate data displays including boxplots; discuss the shapes of these distributions in terms of centre, spread, shape and outliers in the context of the data</t>
        </is>
      </c>
      <c r="E385" s="9" t="n">
        <v>5</v>
      </c>
      <c r="F385" s="9" t="inlineStr">
        <is>
          <t>comparing the information that can be extracted and the stories that can be told about continuous and discrete numerical data sets that have been displayed in different ways, including histograms, dot plots, box plots and cumulative frequency graphs</t>
        </is>
      </c>
    </row>
    <row r="386" ht="23.25" customHeight="1" s="1">
      <c r="A386" s="9" t="inlineStr">
        <is>
          <t>AC9M10ST03</t>
        </is>
      </c>
      <c r="B386" s="9" t="n">
        <v>10</v>
      </c>
      <c r="C386" s="9" t="inlineStr">
        <is>
          <t>Statistics</t>
        </is>
      </c>
      <c r="D386" s="9" t="inlineStr">
        <is>
          <t>construct scatterplots and comment on the association between the 2 numerical variables in terms of strength, direction and linearity</t>
        </is>
      </c>
      <c r="E386" s="9" t="n">
        <v>1</v>
      </c>
      <c r="F386" s="9" t="inlineStr">
        <is>
          <t>discussing the difference between association and cause and effect, and relating this to situations such as health, diversity of species and climate control</t>
        </is>
      </c>
    </row>
    <row r="387" ht="23.25" customHeight="1" s="1">
      <c r="A387" s="9" t="inlineStr">
        <is>
          <t>AC9M10ST03</t>
        </is>
      </c>
      <c r="B387" s="9" t="n">
        <v>10</v>
      </c>
      <c r="C387" s="9" t="inlineStr">
        <is>
          <t>Statistics</t>
        </is>
      </c>
      <c r="D387" s="9" t="inlineStr">
        <is>
          <t>construct scatterplots and comment on the association between the 2 numerical variables in terms of strength, direction and linearity</t>
        </is>
      </c>
      <c r="E387" s="9" t="n">
        <v>2</v>
      </c>
      <c r="F387" s="9" t="inlineStr">
        <is>
          <t>using statistical evidence to make, justify and critique claims about association between variables, such as in contexts of climate change, migration, online shopping and social media</t>
        </is>
      </c>
    </row>
    <row r="388" ht="23.25" customHeight="1" s="1">
      <c r="A388" s="9" t="inlineStr">
        <is>
          <t>AC9M10ST03</t>
        </is>
      </c>
      <c r="B388" s="9" t="n">
        <v>10</v>
      </c>
      <c r="C388" s="9" t="inlineStr">
        <is>
          <t>Statistics</t>
        </is>
      </c>
      <c r="D388" s="9" t="inlineStr">
        <is>
          <t>construct scatterplots and comment on the association between the 2 numerical variables in terms of strength, direction and linearity</t>
        </is>
      </c>
      <c r="E388" s="9" t="n">
        <v>3</v>
      </c>
      <c r="F388" s="9" t="inlineStr">
        <is>
          <t>informally using a line of good fit by eye to discuss reliability of any predictions</t>
        </is>
      </c>
    </row>
    <row r="389" ht="23.25" customHeight="1" s="1">
      <c r="A389" s="9" t="inlineStr">
        <is>
          <t>AC9M10ST03</t>
        </is>
      </c>
      <c r="B389" s="9" t="n">
        <v>10</v>
      </c>
      <c r="C389" s="9" t="inlineStr">
        <is>
          <t>Statistics</t>
        </is>
      </c>
      <c r="D389" s="9" t="inlineStr">
        <is>
          <t>construct scatterplots and comment on the association between the 2 numerical variables in terms of strength, direction and linearity</t>
        </is>
      </c>
      <c r="E389" s="9" t="n">
        <v>4</v>
      </c>
      <c r="F389" s="9" t="inlineStr">
        <is>
          <t>investigating the relationship between 2 variables of spear throwers used by Australian First Nations Peoples by using data to construct scatterplots, make comparisons and draw conclusions</t>
        </is>
      </c>
    </row>
    <row r="390" ht="23.25" customHeight="1" s="1">
      <c r="A390" s="9" t="inlineStr">
        <is>
          <t>AC9M10ST04</t>
        </is>
      </c>
      <c r="B390" s="9" t="n">
        <v>10</v>
      </c>
      <c r="C390" s="9" t="inlineStr">
        <is>
          <t>Statistics</t>
        </is>
      </c>
      <c r="D390" s="9" t="inlineStr">
        <is>
          <t>construct two-way tables and discuss possible relationship between categorical variables</t>
        </is>
      </c>
      <c r="E390" s="9" t="n">
        <v>1</v>
      </c>
      <c r="F390" s="9" t="inlineStr">
        <is>
          <t>using two-way tables to investigate and comparing the survey responses to questions involving five-point Likert scale against 2 different categories of respondents; for example, junior compared to senior students’ responses to a survey question</t>
        </is>
      </c>
    </row>
    <row r="391" ht="15" customHeight="1" s="1">
      <c r="A391" s="9" t="inlineStr">
        <is>
          <t>AC9M10ST04</t>
        </is>
      </c>
      <c r="B391" s="9" t="n">
        <v>10</v>
      </c>
      <c r="C391" s="9" t="inlineStr">
        <is>
          <t>Statistics</t>
        </is>
      </c>
      <c r="D391" s="9" t="inlineStr">
        <is>
          <t>construct two-way tables and discuss possible relationship between categorical variables</t>
        </is>
      </c>
      <c r="E391" s="9" t="n">
        <v>2</v>
      </c>
      <c r="F391" s="9" t="inlineStr">
        <is>
          <t>recording data in two-way tables and using percentages and proportions to identify patterns and associations in the data</t>
        </is>
      </c>
    </row>
    <row r="392" ht="34.5" customHeight="1" s="1">
      <c r="A392" s="9" t="inlineStr">
        <is>
          <t>AC9M10ST04</t>
        </is>
      </c>
      <c r="B392" s="9" t="n">
        <v>10</v>
      </c>
      <c r="C392" s="9" t="inlineStr">
        <is>
          <t>Statistics</t>
        </is>
      </c>
      <c r="D392" s="9" t="inlineStr">
        <is>
          <t>construct two-way tables and discuss possible relationship between categorical variables</t>
        </is>
      </c>
      <c r="E392" s="9" t="n">
        <v>3</v>
      </c>
      <c r="F392" s="9" t="inlineStr">
        <is>
          <t>conducting a litter survey around the school, considering the relationship between different categorical variables such as the day of the week as canteen specials might lead to different types of litter or the weather due to hot days leading to more ice blocks and cold drinks being sold</t>
        </is>
      </c>
    </row>
    <row r="393" ht="23.25" customHeight="1" s="1">
      <c r="A393" s="9" t="inlineStr">
        <is>
          <t>AC9M10ST05</t>
        </is>
      </c>
      <c r="B393" s="9" t="n">
        <v>10</v>
      </c>
      <c r="C393" s="9" t="inlineStr">
        <is>
          <t>Statistics</t>
        </is>
      </c>
      <c r="D393" s="9" t="inlineStr">
        <is>
          <t>plan and conduct statistical investigations of situations that involve bivariate data; evaluate and report findings with consideration of limitations of any inferences</t>
        </is>
      </c>
      <c r="E393" s="9" t="n">
        <v>1</v>
      </c>
      <c r="F393" s="9" t="inlineStr">
        <is>
          <t>designing statistical investigations that collect bivariate data over time through observation, experiment or measurement; graphing, interpreting and analysing data; and reporting within the context of the statistical investigation question</t>
        </is>
      </c>
    </row>
    <row r="394" ht="23.25" customHeight="1" s="1">
      <c r="A394" s="9" t="inlineStr">
        <is>
          <t>AC9M10ST05</t>
        </is>
      </c>
      <c r="B394" s="9" t="n">
        <v>10</v>
      </c>
      <c r="C394" s="9" t="inlineStr">
        <is>
          <t>Statistics</t>
        </is>
      </c>
      <c r="D394" s="9" t="inlineStr">
        <is>
          <t>plan and conduct statistical investigations of situations that involve bivariate data; evaluate and report findings with consideration of limitations of any inferences</t>
        </is>
      </c>
      <c r="E394" s="9" t="n">
        <v>2</v>
      </c>
      <c r="F394" s="9" t="inlineStr">
        <is>
          <t>investigating anecdotal claims including those concerning climate, housing affordability and natural resources, with consideration of data validity and limitations of interpolation or extrapolation</t>
        </is>
      </c>
    </row>
    <row r="395" ht="23.25" customHeight="1" s="1">
      <c r="A395" s="9" t="inlineStr">
        <is>
          <t>AC9M10ST05</t>
        </is>
      </c>
      <c r="B395" s="9" t="n">
        <v>10</v>
      </c>
      <c r="C395" s="9" t="inlineStr">
        <is>
          <t>Statistics</t>
        </is>
      </c>
      <c r="D395" s="9" t="inlineStr">
        <is>
          <t>plan and conduct statistical investigations of situations that involve bivariate data; evaluate and report findings with consideration of limitations of any inferences</t>
        </is>
      </c>
      <c r="E395" s="9" t="n">
        <v>3</v>
      </c>
      <c r="F395" s="9" t="inlineStr">
        <is>
          <t>using a statistical investigation to address the question, “Is there a relationship between vaccines and immunity from a virus”</t>
        </is>
      </c>
    </row>
    <row r="396" ht="23.25" customHeight="1" s="1">
      <c r="A396" s="9" t="inlineStr">
        <is>
          <t>AC9M10ST05</t>
        </is>
      </c>
      <c r="B396" s="9" t="n">
        <v>10</v>
      </c>
      <c r="C396" s="9" t="inlineStr">
        <is>
          <t>Statistics</t>
        </is>
      </c>
      <c r="D396" s="9" t="inlineStr">
        <is>
          <t>plan and conduct statistical investigations of situations that involve bivariate data; evaluate and report findings with consideration of limitations of any inferences</t>
        </is>
      </c>
      <c r="E396" s="9" t="n">
        <v>4</v>
      </c>
      <c r="F396" s="9" t="inlineStr">
        <is>
          <t>investigating biodiversity changes in Australia before and after colonisation by comparing related bivariate numerical data, discussing and reporting on associations</t>
        </is>
      </c>
    </row>
    <row r="397" ht="23.25" customHeight="1" s="1">
      <c r="A397" s="9" t="inlineStr">
        <is>
          <t>AC9M10P01</t>
        </is>
      </c>
      <c r="B397" s="9" t="n">
        <v>10</v>
      </c>
      <c r="C397" s="9" t="inlineStr">
        <is>
          <t>Probability</t>
        </is>
      </c>
      <c r="D397" s="9" t="inlineStr">
        <is>
          <t>use the language of “if ... then”, “given”, “of”, “knowing that” to describe and interpret situations involving conditional probability</t>
        </is>
      </c>
      <c r="E397" s="9" t="n">
        <v>1</v>
      </c>
      <c r="F397" s="9" t="inlineStr">
        <is>
          <t>using two-way tables and Venn diagrams to understand conditional statements using the language of “if ... then ...”, “given”, “of”, “knowing that” and identifying common mistakes in interpreting such language</t>
        </is>
      </c>
    </row>
    <row r="398" ht="23.25" customHeight="1" s="1">
      <c r="A398" s="9" t="inlineStr">
        <is>
          <t>AC9M10P01</t>
        </is>
      </c>
      <c r="B398" s="9" t="n">
        <v>10</v>
      </c>
      <c r="C398" s="9" t="inlineStr">
        <is>
          <t>Probability</t>
        </is>
      </c>
      <c r="D398" s="9" t="inlineStr">
        <is>
          <t>use the language of “if ... then”, “given”, “of”, “knowing that” to describe and interpret situations involving conditional probability</t>
        </is>
      </c>
      <c r="E398" s="9" t="n">
        <v>2</v>
      </c>
      <c r="F398" s="9" t="inlineStr">
        <is>
          <t>using arrays and tree diagrams to represent, interpret and compare probabilities of dependent and independent events</t>
        </is>
      </c>
    </row>
    <row r="399" ht="23.25" customHeight="1" s="1">
      <c r="A399" s="9" t="inlineStr">
        <is>
          <t>AC9M10P02</t>
        </is>
      </c>
      <c r="B399" s="9" t="n">
        <v>10</v>
      </c>
      <c r="C399" s="9" t="inlineStr">
        <is>
          <t>Probability</t>
        </is>
      </c>
      <c r="D399" s="9" t="inlineStr">
        <is>
          <t>design and conduct repeated chance experiments and simulations using digital tools to model conditional probability and interpret results</t>
        </is>
      </c>
      <c r="E399" s="9" t="n">
        <v>1</v>
      </c>
      <c r="F399" s="9" t="inlineStr">
        <is>
          <t>using samples of different sizes with and without replacement from a population to identify when the difference in methods becomes negligible</t>
        </is>
      </c>
    </row>
    <row r="400" ht="23.25" customHeight="1" s="1">
      <c r="A400" s="9" t="inlineStr">
        <is>
          <t>AC9M10P02</t>
        </is>
      </c>
      <c r="B400" s="9" t="n">
        <v>10</v>
      </c>
      <c r="C400" s="9" t="inlineStr">
        <is>
          <t>Probability</t>
        </is>
      </c>
      <c r="D400" s="9" t="inlineStr">
        <is>
          <t>design and conduct repeated chance experiments and simulations using digital tools to model conditional probability and interpret results</t>
        </is>
      </c>
      <c r="E400" s="9" t="n">
        <v>2</v>
      </c>
      <c r="F400" s="9" t="inlineStr">
        <is>
          <t>recognising that an event can be dependent on another event and that this will affect the way its probability is calculated</t>
        </is>
      </c>
    </row>
    <row r="401" ht="23.25" customHeight="1" s="1">
      <c r="A401" s="9" t="inlineStr">
        <is>
          <t>AC9M10P02</t>
        </is>
      </c>
      <c r="B401" s="9" t="n">
        <v>10</v>
      </c>
      <c r="C401" s="9" t="inlineStr">
        <is>
          <t>Probability</t>
        </is>
      </c>
      <c r="D401" s="9" t="inlineStr">
        <is>
          <t>design and conduct repeated chance experiments and simulations using digital tools to model conditional probability and interpret results</t>
        </is>
      </c>
      <c r="E401" s="9" t="n">
        <v>3</v>
      </c>
      <c r="F401" s="9" t="inlineStr">
        <is>
          <t>using simulations to gather data on frequencies for situations involving chance that appear to be counter-intuitive, such as the three-door problem or the birthday problem</t>
        </is>
      </c>
    </row>
    <row r="402" ht="23.25" customHeight="1" s="1">
      <c r="A402" s="9" t="inlineStr">
        <is>
          <t>AC9M10P02</t>
        </is>
      </c>
      <c r="B402" s="9" t="n">
        <v>10</v>
      </c>
      <c r="C402" s="9" t="inlineStr">
        <is>
          <t>Probability</t>
        </is>
      </c>
      <c r="D402" s="9" t="inlineStr">
        <is>
          <t>design and conduct repeated chance experiments and simulations using digital tools to model conditional probability and interpret results</t>
        </is>
      </c>
      <c r="E402" s="9" t="n">
        <v>4</v>
      </c>
      <c r="F402" s="9" t="inlineStr">
        <is>
          <t>identifying situations in real-life where probability simulations are used for decision-making, such as supply and demand of product, insurance risk and queueing</t>
        </is>
      </c>
    </row>
    <row r="403" ht="23.25" customHeight="1" s="1">
      <c r="A403" s="9" t="inlineStr">
        <is>
          <t>AC9M10P02</t>
        </is>
      </c>
      <c r="B403" s="9" t="n">
        <v>10</v>
      </c>
      <c r="C403" s="9" t="inlineStr">
        <is>
          <t>Probability</t>
        </is>
      </c>
      <c r="D403" s="9" t="inlineStr">
        <is>
          <t>design and conduct repeated chance experiments and simulations using digital tools to model conditional probability and interpret results</t>
        </is>
      </c>
      <c r="E403" s="9" t="n">
        <v>5</v>
      </c>
      <c r="F403" s="9" t="inlineStr">
        <is>
          <t>using simulation to predict the number of people likely to be infected with a strain of flu or virus</t>
        </is>
      </c>
    </row>
  </sheetData>
  <autoFilter ref="A1:F403"/>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E7"/>
  <sheetViews>
    <sheetView zoomScaleNormal="100" workbookViewId="0">
      <selection activeCell="A1" sqref="A1"/>
    </sheetView>
  </sheetViews>
  <sheetFormatPr baseColWidth="8" defaultColWidth="8.6328125" defaultRowHeight="14.5"/>
  <cols>
    <col width="9" customWidth="1" style="1" min="1" max="1"/>
    <col width="13" customWidth="1" style="1" min="2" max="2"/>
    <col width="60" customWidth="1" style="1" min="3" max="3"/>
    <col width="35" customWidth="1" style="1" min="4" max="4"/>
    <col width="18" customWidth="1" style="1" min="5" max="5"/>
  </cols>
  <sheetData>
    <row r="1" ht="15" customHeight="1" s="1">
      <c r="A1" s="8" t="inlineStr">
        <is>
          <t>SA Year</t>
        </is>
      </c>
      <c r="B1" s="8" t="inlineStr">
        <is>
          <t>Strand</t>
        </is>
      </c>
      <c r="C1" s="8" t="inlineStr">
        <is>
          <t>SA Conceptual Understanding</t>
        </is>
      </c>
      <c r="D1" s="8" t="inlineStr">
        <is>
          <t>AC9 Descriptor(s) attached</t>
        </is>
      </c>
      <c r="E1" s="8" t="inlineStr">
        <is>
          <t>SA adaptation flag</t>
        </is>
      </c>
    </row>
    <row r="2" ht="15" customHeight="1" s="1">
      <c r="A2" s="10" t="inlineStr">
        <is>
          <t>(populate from SA Curriculum Prototype PDF)</t>
        </is>
      </c>
    </row>
    <row r="4" ht="15" customHeight="1" s="1">
      <c r="A4" s="3" t="inlineStr">
        <is>
          <t>Notes:</t>
        </is>
      </c>
    </row>
    <row r="5" ht="15" customHeight="1" s="1">
      <c r="A5" t="inlineStr">
        <is>
          <t>• * after code = SA adaptation of AC9 descriptor</t>
        </is>
      </c>
    </row>
    <row r="6" ht="15" customHeight="1" s="1">
      <c r="A6" t="inlineStr">
        <is>
          <t>• ^ after code = SA-created descriptor not in AC9</t>
        </is>
      </c>
    </row>
    <row r="7" ht="15" customHeight="1" s="1">
      <c r="A7" t="inlineStr">
        <is>
          <t>• Some AC9 descriptors sit under different SA Year than ACARA Year (e.g. AC9M8X may be SA Year 7).</t>
        </is>
      </c>
    </row>
  </sheetData>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H29"/>
  <sheetViews>
    <sheetView zoomScaleNormal="100" workbookViewId="0">
      <selection activeCell="A1" sqref="A1"/>
    </sheetView>
  </sheetViews>
  <sheetFormatPr baseColWidth="8" defaultColWidth="8.6328125" defaultRowHeight="14.5"/>
  <cols>
    <col width="34" customWidth="1" style="1" min="1" max="1"/>
    <col width="14" customWidth="1" style="1" min="2" max="7"/>
    <col width="10" customWidth="1" style="1" min="8" max="8"/>
  </cols>
  <sheetData>
    <row r="1" ht="19.5" customHeight="1" s="1">
      <c r="A1" s="2" t="inlineStr">
        <is>
          <t>Coverage Report</t>
        </is>
      </c>
    </row>
    <row r="3" ht="15" customHeight="1" s="1">
      <c r="A3" s="3" t="inlineStr">
        <is>
          <t>Status summary</t>
        </is>
      </c>
    </row>
    <row r="4" ht="15" customHeight="1" s="1">
      <c r="A4" s="5" t="inlineStr">
        <is>
          <t>Total lessons planned</t>
        </is>
      </c>
      <c r="B4">
        <f>COUNTA(Lessons!A2:A1000)</f>
        <v/>
      </c>
    </row>
    <row r="5" ht="15" customHeight="1" s="1">
      <c r="A5" s="5" t="inlineStr">
        <is>
          <t>Planned</t>
        </is>
      </c>
      <c r="B5">
        <f>COUNTIF(Lessons!N2:N1000,"Planned")</f>
        <v/>
      </c>
    </row>
    <row r="6" ht="15" customHeight="1" s="1">
      <c r="A6" s="5" t="inlineStr">
        <is>
          <t>Drafted</t>
        </is>
      </c>
      <c r="B6">
        <f>COUNTIF(Lessons!N2:N1000,"Drafted")</f>
        <v/>
      </c>
    </row>
    <row r="7" ht="15" customHeight="1" s="1">
      <c r="A7" s="5" t="inlineStr">
        <is>
          <t>Generated</t>
        </is>
      </c>
      <c r="B7">
        <f>COUNTIF(Lessons!N2:N1000,"Generated")</f>
        <v/>
      </c>
    </row>
    <row r="8" ht="15" customHeight="1" s="1">
      <c r="A8" s="5" t="inlineStr">
        <is>
          <t>Reviewed</t>
        </is>
      </c>
      <c r="B8">
        <f>COUNTIF(Lessons!N2:N1000,"Reviewed")</f>
        <v/>
      </c>
    </row>
    <row r="9" ht="15" customHeight="1" s="1">
      <c r="A9" s="5" t="inlineStr">
        <is>
          <t>Published</t>
        </is>
      </c>
      <c r="B9">
        <f>COUNTIF(Lessons!N2:N1000,"Published")</f>
        <v/>
      </c>
    </row>
    <row r="12" ht="15" customHeight="1" s="1">
      <c r="A12" s="3" t="inlineStr">
        <is>
          <t>Lessons planned by Year × Strand</t>
        </is>
      </c>
    </row>
    <row r="13" ht="15" customHeight="1" s="1">
      <c r="A13" s="11" t="inlineStr">
        <is>
          <t>Year</t>
        </is>
      </c>
      <c r="B13" s="11" t="inlineStr">
        <is>
          <t>Number</t>
        </is>
      </c>
      <c r="C13" s="11" t="inlineStr">
        <is>
          <t>Algebra</t>
        </is>
      </c>
      <c r="D13" s="11" t="inlineStr">
        <is>
          <t>Measurement</t>
        </is>
      </c>
      <c r="E13" s="11" t="inlineStr">
        <is>
          <t>Space</t>
        </is>
      </c>
      <c r="F13" s="11" t="inlineStr">
        <is>
          <t>Statistics</t>
        </is>
      </c>
      <c r="G13" s="11" t="inlineStr">
        <is>
          <t>Probability</t>
        </is>
      </c>
      <c r="H13" s="11" t="inlineStr">
        <is>
          <t>Total</t>
        </is>
      </c>
    </row>
    <row r="14" ht="15" customHeight="1" s="1">
      <c r="A14" s="11" t="n">
        <v>7</v>
      </c>
      <c r="B14">
        <f>COUNTIFS(Lessons!B:B,7,Lessons!C:C,"Number")</f>
        <v/>
      </c>
      <c r="C14">
        <f>COUNTIFS(Lessons!B:B,7,Lessons!C:C,"Algebra")</f>
        <v/>
      </c>
      <c r="D14">
        <f>COUNTIFS(Lessons!B:B,7,Lessons!C:C,"Measurement")</f>
        <v/>
      </c>
      <c r="E14">
        <f>COUNTIFS(Lessons!B:B,7,Lessons!C:C,"Space")</f>
        <v/>
      </c>
      <c r="F14">
        <f>COUNTIFS(Lessons!B:B,7,Lessons!C:C,"Statistics")</f>
        <v/>
      </c>
      <c r="G14">
        <f>COUNTIFS(Lessons!B:B,7,Lessons!C:C,"Probability")</f>
        <v/>
      </c>
      <c r="H14">
        <f>SUM(B14:G14)</f>
        <v/>
      </c>
    </row>
    <row r="15" ht="15" customHeight="1" s="1">
      <c r="A15" s="11" t="n">
        <v>8</v>
      </c>
      <c r="B15">
        <f>COUNTIFS(Lessons!B:B,8,Lessons!C:C,"Number")</f>
        <v/>
      </c>
      <c r="C15">
        <f>COUNTIFS(Lessons!B:B,8,Lessons!C:C,"Algebra")</f>
        <v/>
      </c>
      <c r="D15">
        <f>COUNTIFS(Lessons!B:B,8,Lessons!C:C,"Measurement")</f>
        <v/>
      </c>
      <c r="E15">
        <f>COUNTIFS(Lessons!B:B,8,Lessons!C:C,"Space")</f>
        <v/>
      </c>
      <c r="F15">
        <f>COUNTIFS(Lessons!B:B,8,Lessons!C:C,"Statistics")</f>
        <v/>
      </c>
      <c r="G15">
        <f>COUNTIFS(Lessons!B:B,8,Lessons!C:C,"Probability")</f>
        <v/>
      </c>
      <c r="H15">
        <f>SUM(B15:G15)</f>
        <v/>
      </c>
    </row>
    <row r="16" ht="15" customHeight="1" s="1">
      <c r="A16" s="11" t="n">
        <v>9</v>
      </c>
      <c r="B16">
        <f>COUNTIFS(Lessons!B:B,9,Lessons!C:C,"Number")</f>
        <v/>
      </c>
      <c r="C16">
        <f>COUNTIFS(Lessons!B:B,9,Lessons!C:C,"Algebra")</f>
        <v/>
      </c>
      <c r="D16">
        <f>COUNTIFS(Lessons!B:B,9,Lessons!C:C,"Measurement")</f>
        <v/>
      </c>
      <c r="E16">
        <f>COUNTIFS(Lessons!B:B,9,Lessons!C:C,"Space")</f>
        <v/>
      </c>
      <c r="F16">
        <f>COUNTIFS(Lessons!B:B,9,Lessons!C:C,"Statistics")</f>
        <v/>
      </c>
      <c r="G16">
        <f>COUNTIFS(Lessons!B:B,9,Lessons!C:C,"Probability")</f>
        <v/>
      </c>
      <c r="H16">
        <f>SUM(B16:G16)</f>
        <v/>
      </c>
    </row>
    <row r="17" ht="15" customHeight="1" s="1">
      <c r="A17" s="11" t="n">
        <v>10</v>
      </c>
      <c r="B17">
        <f>COUNTIFS(Lessons!B:B,10,Lessons!C:C,"Number")</f>
        <v/>
      </c>
      <c r="C17">
        <f>COUNTIFS(Lessons!B:B,10,Lessons!C:C,"Algebra")</f>
        <v/>
      </c>
      <c r="D17">
        <f>COUNTIFS(Lessons!B:B,10,Lessons!C:C,"Measurement")</f>
        <v/>
      </c>
      <c r="E17">
        <f>COUNTIFS(Lessons!B:B,10,Lessons!C:C,"Space")</f>
        <v/>
      </c>
      <c r="F17">
        <f>COUNTIFS(Lessons!B:B,10,Lessons!C:C,"Statistics")</f>
        <v/>
      </c>
      <c r="G17">
        <f>COUNTIFS(Lessons!B:B,10,Lessons!C:C,"Probability")</f>
        <v/>
      </c>
      <c r="H17">
        <f>SUM(B17:G17)</f>
        <v/>
      </c>
    </row>
    <row r="18" ht="15" customHeight="1" s="1">
      <c r="A18" s="11" t="inlineStr">
        <is>
          <t>Total</t>
        </is>
      </c>
      <c r="B18" s="11">
        <f>SUM(B14:B17)</f>
        <v/>
      </c>
      <c r="C18" s="11">
        <f>SUM(C14:C17)</f>
        <v/>
      </c>
      <c r="D18" s="11">
        <f>SUM(D14:D17)</f>
        <v/>
      </c>
      <c r="E18" s="11">
        <f>SUM(E14:E17)</f>
        <v/>
      </c>
      <c r="F18" s="11">
        <f>SUM(F14:F17)</f>
        <v/>
      </c>
      <c r="G18" s="11">
        <f>SUM(G14:G17)</f>
        <v/>
      </c>
      <c r="H18" s="11">
        <f>SUM(H14:H17)</f>
        <v/>
      </c>
    </row>
    <row r="21" ht="15" customHeight="1" s="1">
      <c r="A21" s="3" t="inlineStr">
        <is>
          <t>Descriptors not yet covered</t>
        </is>
      </c>
    </row>
    <row r="22" ht="15" customHeight="1" s="1">
      <c r="A22" s="12" t="inlineStr">
        <is>
          <t>(See Descriptors sheet; this view to be added as a manual filter or pivot. Auto-coverage check is in the Notes section below.)</t>
        </is>
      </c>
    </row>
    <row r="25" ht="15" customHeight="1" s="1">
      <c r="A25" s="3" t="inlineStr">
        <is>
          <t>How to use</t>
        </is>
      </c>
    </row>
    <row r="26" ht="41.25" customHeight="1" s="1">
      <c r="A26" s="6" t="inlineStr">
        <is>
          <t>• Status summary (B4-B9) updates automatically as Lessons rows are updated.</t>
        </is>
      </c>
    </row>
    <row r="27" ht="27.75" customHeight="1" s="1">
      <c r="A27" s="6" t="inlineStr">
        <is>
          <t>• Year × Strand grid shows where the library is dense vs sparse.</t>
        </is>
      </c>
    </row>
    <row r="28" ht="54.75" customHeight="1" s="1">
      <c r="A28" s="6" t="inlineStr">
        <is>
          <t>• To find AC9 codes not yet covered: filter the Descriptors sheet by Code, then check if that code appears in Lessons column G.</t>
        </is>
      </c>
    </row>
    <row r="29" ht="41.25" customHeight="1" s="1">
      <c r="A29" s="6" t="inlineStr">
        <is>
          <t>• When the library is mature, add a pivot table here for descriptor-level coverage.</t>
        </is>
      </c>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2026-05-18T12:35:36Z</dcterms:created>
  <dcterms:modified xsi:type="dcterms:W3CDTF">2026-10-13T21:40:59Z</dcterms:modified>
  <cp:lastModifiedBy>Sam Eager</cp:lastModifiedBy>
  <cp:revision>0</cp:revision>
</cp:coreProperties>
</file>